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ego.cabral\Desktop\"/>
    </mc:Choice>
  </mc:AlternateContent>
  <bookViews>
    <workbookView xWindow="0" yWindow="0" windowWidth="23040" windowHeight="9264" activeTab="5"/>
  </bookViews>
  <sheets>
    <sheet name="Lancamentos" sheetId="1" r:id="rId1"/>
    <sheet name="Categorias" sheetId="2" r:id="rId2"/>
    <sheet name="Resumo Mensal" sheetId="3" r:id="rId3"/>
    <sheet name="Dashboard" sheetId="4" r:id="rId4"/>
    <sheet name="Metas" sheetId="5" r:id="rId5"/>
    <sheet name="Ajuda" sheetId="6" r:id="rId6"/>
  </sheets>
  <definedNames>
    <definedName name="listaCategorias">Categorias!$G$2:$G$20</definedName>
    <definedName name="listaContas">Categorias!$K$2:$K$7</definedName>
    <definedName name="listaFormas">Categorias!$I$2:$I$9</definedName>
    <definedName name="listaStatus">Categorias!$M$2:$M$4</definedName>
    <definedName name="listaTipos">Categorias!$A$2:$A$3</definedName>
  </definedNames>
  <calcPr calcId="152511" forceFullCalc="1"/>
</workbook>
</file>

<file path=xl/calcChain.xml><?xml version="1.0" encoding="utf-8"?>
<calcChain xmlns="http://schemas.openxmlformats.org/spreadsheetml/2006/main">
  <c r="E14" i="5" l="1"/>
  <c r="C14" i="5"/>
  <c r="D14" i="5" s="1"/>
  <c r="E13" i="5"/>
  <c r="C13" i="5"/>
  <c r="D13" i="5" s="1"/>
  <c r="E12" i="5"/>
  <c r="C12" i="5"/>
  <c r="D12" i="5" s="1"/>
  <c r="E11" i="5"/>
  <c r="C11" i="5"/>
  <c r="D11" i="5" s="1"/>
  <c r="E10" i="5"/>
  <c r="D10" i="5"/>
  <c r="C10" i="5"/>
  <c r="E9" i="5"/>
  <c r="C9" i="5"/>
  <c r="D9" i="5" s="1"/>
  <c r="E8" i="5"/>
  <c r="C8" i="5"/>
  <c r="D8" i="5" s="1"/>
  <c r="E7" i="5"/>
  <c r="C7" i="5"/>
  <c r="D7" i="5" s="1"/>
  <c r="E6" i="5"/>
  <c r="C6" i="5"/>
  <c r="D6" i="5" s="1"/>
  <c r="E5" i="5"/>
  <c r="C5" i="5"/>
  <c r="D5" i="5" s="1"/>
  <c r="E4" i="5"/>
  <c r="E3" i="5"/>
  <c r="E2" i="5"/>
  <c r="H14" i="3"/>
  <c r="H13" i="3"/>
  <c r="H12" i="3"/>
  <c r="H11" i="3"/>
  <c r="H10" i="3"/>
  <c r="H9" i="3"/>
  <c r="H8" i="3"/>
  <c r="H7" i="3"/>
  <c r="H6" i="3"/>
  <c r="H5" i="3"/>
  <c r="H4" i="3"/>
  <c r="H3" i="3"/>
  <c r="H2" i="3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C4" i="5" s="1"/>
  <c r="D4" i="5" s="1"/>
  <c r="I4" i="1"/>
  <c r="C3" i="5" s="1"/>
  <c r="D3" i="5" s="1"/>
  <c r="I3" i="1"/>
  <c r="I2" i="1"/>
  <c r="B11" i="3" s="1"/>
  <c r="I14" i="3" l="1"/>
  <c r="C12" i="3"/>
  <c r="E11" i="3"/>
  <c r="B7" i="3"/>
  <c r="B2" i="3"/>
  <c r="B6" i="3"/>
  <c r="B10" i="3"/>
  <c r="B5" i="3"/>
  <c r="B9" i="3"/>
  <c r="B13" i="3"/>
  <c r="B7" i="4"/>
  <c r="C3" i="3"/>
  <c r="I5" i="3"/>
  <c r="C7" i="3"/>
  <c r="I9" i="3"/>
  <c r="C11" i="3"/>
  <c r="D11" i="3" s="1"/>
  <c r="I13" i="3"/>
  <c r="C2" i="3"/>
  <c r="I4" i="3"/>
  <c r="C6" i="3"/>
  <c r="I8" i="3"/>
  <c r="C10" i="3"/>
  <c r="I12" i="3"/>
  <c r="I3" i="3"/>
  <c r="C5" i="3"/>
  <c r="I7" i="3"/>
  <c r="C9" i="3"/>
  <c r="I11" i="3"/>
  <c r="C13" i="3"/>
  <c r="C2" i="5"/>
  <c r="D2" i="5" s="1"/>
  <c r="B4" i="3"/>
  <c r="B8" i="3"/>
  <c r="B12" i="3"/>
  <c r="I2" i="3"/>
  <c r="C4" i="3"/>
  <c r="I6" i="3"/>
  <c r="C8" i="3"/>
  <c r="I10" i="3"/>
  <c r="B3" i="3"/>
  <c r="E8" i="3" l="1"/>
  <c r="D8" i="3"/>
  <c r="D12" i="3"/>
  <c r="E12" i="3"/>
  <c r="E9" i="3"/>
  <c r="D9" i="3"/>
  <c r="D4" i="3"/>
  <c r="E4" i="3"/>
  <c r="E6" i="3"/>
  <c r="D6" i="3"/>
  <c r="E5" i="3"/>
  <c r="D5" i="3"/>
  <c r="B3" i="4"/>
  <c r="E2" i="3"/>
  <c r="D2" i="3"/>
  <c r="D14" i="3" s="1"/>
  <c r="B14" i="3"/>
  <c r="E14" i="3" s="1"/>
  <c r="E7" i="3"/>
  <c r="D7" i="3"/>
  <c r="E3" i="3"/>
  <c r="D3" i="3"/>
  <c r="E10" i="3"/>
  <c r="D10" i="3"/>
  <c r="B6" i="4"/>
  <c r="C14" i="3"/>
  <c r="B4" i="4"/>
  <c r="E13" i="3"/>
  <c r="D13" i="3"/>
  <c r="B5" i="4" l="1"/>
</calcChain>
</file>

<file path=xl/sharedStrings.xml><?xml version="1.0" encoding="utf-8"?>
<sst xmlns="http://schemas.openxmlformats.org/spreadsheetml/2006/main" count="174" uniqueCount="99">
  <si>
    <t>Data</t>
  </si>
  <si>
    <t>Tipo</t>
  </si>
  <si>
    <t>Categoria</t>
  </si>
  <si>
    <t>Subcategoria</t>
  </si>
  <si>
    <t>Descricao</t>
  </si>
  <si>
    <t>Forma</t>
  </si>
  <si>
    <t>Conta</t>
  </si>
  <si>
    <t>Valor</t>
  </si>
  <si>
    <t>Mes</t>
  </si>
  <si>
    <t>Status</t>
  </si>
  <si>
    <t>Observacoes</t>
  </si>
  <si>
    <t>Receita</t>
  </si>
  <si>
    <t>Salario</t>
  </si>
  <si>
    <t/>
  </si>
  <si>
    <t>Salario mensal</t>
  </si>
  <si>
    <t>Transferencia</t>
  </si>
  <si>
    <t>Conta Corrente</t>
  </si>
  <si>
    <t>Pago</t>
  </si>
  <si>
    <t>Exemplo: apague ou substitua</t>
  </si>
  <si>
    <t>Despesa</t>
  </si>
  <si>
    <t>Moradia</t>
  </si>
  <si>
    <t>Aluguel</t>
  </si>
  <si>
    <t>Pix</t>
  </si>
  <si>
    <t>Exemplo</t>
  </si>
  <si>
    <t>Alimentacao</t>
  </si>
  <si>
    <t>Mercado</t>
  </si>
  <si>
    <t>Compra do mes</t>
  </si>
  <si>
    <t>Cartao Debito</t>
  </si>
  <si>
    <t>Transporte</t>
  </si>
  <si>
    <t>Combustivel</t>
  </si>
  <si>
    <t>Abastecimento</t>
  </si>
  <si>
    <t>Cartao Credito</t>
  </si>
  <si>
    <t>Cartao 1</t>
  </si>
  <si>
    <t>Pendente</t>
  </si>
  <si>
    <t>Tipos</t>
  </si>
  <si>
    <t>Categorias de Despesa</t>
  </si>
  <si>
    <t>Categorias de Receita</t>
  </si>
  <si>
    <t>Todas as Categorias</t>
  </si>
  <si>
    <t>Formas</t>
  </si>
  <si>
    <t>Contas</t>
  </si>
  <si>
    <t>Freelance</t>
  </si>
  <si>
    <t>Carteira</t>
  </si>
  <si>
    <t>Investimentos</t>
  </si>
  <si>
    <t>Poupanca</t>
  </si>
  <si>
    <t>Previsto</t>
  </si>
  <si>
    <t>Saude</t>
  </si>
  <si>
    <t>Reembolsos</t>
  </si>
  <si>
    <t>Dinheiro</t>
  </si>
  <si>
    <t>Educacao</t>
  </si>
  <si>
    <t>Vendas</t>
  </si>
  <si>
    <t>Boleto</t>
  </si>
  <si>
    <t>Cartao 2</t>
  </si>
  <si>
    <t>Lazer</t>
  </si>
  <si>
    <t>Presente</t>
  </si>
  <si>
    <t>Assinaturas</t>
  </si>
  <si>
    <t>Outros</t>
  </si>
  <si>
    <t>Debito Automatico</t>
  </si>
  <si>
    <t>Compras</t>
  </si>
  <si>
    <t>Outro</t>
  </si>
  <si>
    <t>Impostos</t>
  </si>
  <si>
    <t>Dividas</t>
  </si>
  <si>
    <t>Pets</t>
  </si>
  <si>
    <t>Familia</t>
  </si>
  <si>
    <t>Receitas</t>
  </si>
  <si>
    <t>Despesas</t>
  </si>
  <si>
    <t>Saldo</t>
  </si>
  <si>
    <t>Taxa de Poupanca</t>
  </si>
  <si>
    <t>Categoria Despesa</t>
  </si>
  <si>
    <t>Total</t>
  </si>
  <si>
    <t>Participacao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</si>
  <si>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</si>
  <si>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</si>
  <si>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</si>
  <si>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</si>
  <si>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</si>
  <si>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</si>
  <si>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</si>
  <si>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</si>
  <si>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</si>
  <si>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</si>
  <si>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</si>
  <si>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</si>
  <si>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Dashboard Financeiro Pessoal</t>
  </si>
  <si>
    <t>Receitas no ano</t>
  </si>
  <si>
    <t>Despesas no ano</t>
  </si>
  <si>
    <t>Saldo no ano</t>
  </si>
  <si>
    <t>Gasto medio mensal</t>
  </si>
  <si>
    <t>Maior categoria de despesa</t>
  </si>
  <si>
    <t>Resumo visual: use a aba Resumo Mensal para inserir graficos dinamicos/pizza se quiser personalizar no Excel.</t>
  </si>
  <si>
    <t>Limite Mensal</t>
  </si>
  <si>
    <t>Gasto Mes Atual</t>
  </si>
  <si>
    <t>Diferenca</t>
  </si>
  <si>
    <t>Como usar</t>
  </si>
  <si>
    <t>1. Preencha a aba Lancamentos com receitas e despesas.</t>
  </si>
  <si>
    <t>2. Use valores positivos; o campo Tipo define se e receita ou despesa.</t>
  </si>
  <si>
    <t>3. Edite listas na aba Categorias para adaptar sua vida real.</t>
  </si>
  <si>
    <t>4. Defina limites na aba Metas para controlar o mes atual.</t>
  </si>
  <si>
    <t>5. O Resumo Mensal e o Dashboard recalculam ao abrir a planilha.</t>
  </si>
  <si>
    <t>6. Para outro ano, altere os meses do Resumo Mensal no formato AAAA-MM.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</si>
</sst>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R\$\ #,##0.00"/>
  </numFmts>
  <fonts count="3">
    <font>
      <sz val="11"/>
      <name val="Calibri"/>
    </font>
    <font>
      <b/>
      <sz val="11"/>
      <name val="Calibri"/>
    </font>
    <font>
      <b/>
      <sz val="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workbookViewId="0">
      <pane ySplit="1" topLeftCell="A2" activePane="bottomLeft" state="frozen"/>
      <selection pane="bottomLeft" activeCell="H3" sqref="H3"/>
    </sheetView>
  </sheetViews>
  <sheetFormatPr defaultRowHeight="14.4"/>
  <cols>
    <col min="1" max="1" width="12" customWidth="1"/>
    <col min="2" max="4" width="16" customWidth="1"/>
    <col min="5" max="5" width="28" customWidth="1"/>
    <col min="6" max="10" width="16" customWidth="1"/>
    <col min="11" max="11" width="3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46181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3">
        <v>4500</v>
      </c>
      <c r="I2" t="str">
        <f t="shared" ref="I2:I65" si="0">IF(A2="","",TEXT(A2,"yyyy-mm"))</f>
        <v>yyyy-06</v>
      </c>
      <c r="J2" t="s">
        <v>17</v>
      </c>
      <c r="K2" t="s">
        <v>18</v>
      </c>
    </row>
    <row r="3" spans="1:11">
      <c r="A3" s="2">
        <v>46183</v>
      </c>
      <c r="B3" t="s">
        <v>19</v>
      </c>
      <c r="C3" t="s">
        <v>20</v>
      </c>
      <c r="D3" t="s">
        <v>21</v>
      </c>
      <c r="E3" t="s">
        <v>21</v>
      </c>
      <c r="F3" t="s">
        <v>22</v>
      </c>
      <c r="G3" t="s">
        <v>16</v>
      </c>
      <c r="H3" s="3">
        <v>1200</v>
      </c>
      <c r="I3" t="str">
        <f t="shared" si="0"/>
        <v>yyyy-06</v>
      </c>
      <c r="J3" t="s">
        <v>17</v>
      </c>
      <c r="K3" t="s">
        <v>23</v>
      </c>
    </row>
    <row r="4" spans="1:11">
      <c r="A4" s="2">
        <v>46185</v>
      </c>
      <c r="B4" t="s">
        <v>19</v>
      </c>
      <c r="C4" t="s">
        <v>24</v>
      </c>
      <c r="D4" t="s">
        <v>25</v>
      </c>
      <c r="E4" t="s">
        <v>26</v>
      </c>
      <c r="F4" t="s">
        <v>27</v>
      </c>
      <c r="G4" t="s">
        <v>16</v>
      </c>
      <c r="H4" s="3">
        <v>650</v>
      </c>
      <c r="I4" t="str">
        <f t="shared" si="0"/>
        <v>yyyy-06</v>
      </c>
      <c r="J4" t="s">
        <v>17</v>
      </c>
      <c r="K4" t="s">
        <v>23</v>
      </c>
    </row>
    <row r="5" spans="1:11">
      <c r="A5" s="2">
        <v>46188</v>
      </c>
      <c r="B5" t="s">
        <v>19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s="3">
        <v>220</v>
      </c>
      <c r="I5" t="str">
        <f t="shared" si="0"/>
        <v>yyyy-06</v>
      </c>
      <c r="J5" t="s">
        <v>33</v>
      </c>
      <c r="K5" t="s">
        <v>23</v>
      </c>
    </row>
    <row r="6" spans="1:11">
      <c r="I6" t="str">
        <f t="shared" si="0"/>
        <v/>
      </c>
    </row>
    <row r="7" spans="1:11">
      <c r="I7" t="str">
        <f t="shared" si="0"/>
        <v/>
      </c>
    </row>
    <row r="8" spans="1:11">
      <c r="I8" t="str">
        <f t="shared" si="0"/>
        <v/>
      </c>
    </row>
    <row r="9" spans="1:11">
      <c r="I9" t="str">
        <f t="shared" si="0"/>
        <v/>
      </c>
    </row>
    <row r="10" spans="1:11">
      <c r="I10" t="str">
        <f t="shared" si="0"/>
        <v/>
      </c>
    </row>
    <row r="11" spans="1:11">
      <c r="I11" t="str">
        <f t="shared" si="0"/>
        <v/>
      </c>
    </row>
    <row r="12" spans="1:11">
      <c r="I12" t="str">
        <f t="shared" si="0"/>
        <v/>
      </c>
    </row>
    <row r="13" spans="1:11">
      <c r="I13" t="str">
        <f t="shared" si="0"/>
        <v/>
      </c>
    </row>
    <row r="14" spans="1:11">
      <c r="I14" t="str">
        <f t="shared" si="0"/>
        <v/>
      </c>
    </row>
    <row r="15" spans="1:11">
      <c r="I15" t="str">
        <f t="shared" si="0"/>
        <v/>
      </c>
    </row>
    <row r="16" spans="1:11">
      <c r="I16" t="str">
        <f t="shared" si="0"/>
        <v/>
      </c>
    </row>
    <row r="17" spans="9:9">
      <c r="I17" t="str">
        <f t="shared" si="0"/>
        <v/>
      </c>
    </row>
    <row r="18" spans="9:9">
      <c r="I18" t="str">
        <f t="shared" si="0"/>
        <v/>
      </c>
    </row>
    <row r="19" spans="9:9">
      <c r="I19" t="str">
        <f t="shared" si="0"/>
        <v/>
      </c>
    </row>
    <row r="20" spans="9:9">
      <c r="I20" t="str">
        <f t="shared" si="0"/>
        <v/>
      </c>
    </row>
    <row r="21" spans="9:9">
      <c r="I21" t="str">
        <f t="shared" si="0"/>
        <v/>
      </c>
    </row>
    <row r="22" spans="9:9">
      <c r="I22" t="str">
        <f t="shared" si="0"/>
        <v/>
      </c>
    </row>
    <row r="23" spans="9:9">
      <c r="I23" t="str">
        <f t="shared" si="0"/>
        <v/>
      </c>
    </row>
    <row r="24" spans="9:9">
      <c r="I24" t="str">
        <f t="shared" si="0"/>
        <v/>
      </c>
    </row>
    <row r="25" spans="9:9">
      <c r="I25" t="str">
        <f t="shared" si="0"/>
        <v/>
      </c>
    </row>
    <row r="26" spans="9:9">
      <c r="I26" t="str">
        <f t="shared" si="0"/>
        <v/>
      </c>
    </row>
    <row r="27" spans="9:9">
      <c r="I27" t="str">
        <f t="shared" si="0"/>
        <v/>
      </c>
    </row>
    <row r="28" spans="9:9">
      <c r="I28" t="str">
        <f t="shared" si="0"/>
        <v/>
      </c>
    </row>
    <row r="29" spans="9:9">
      <c r="I29" t="str">
        <f t="shared" si="0"/>
        <v/>
      </c>
    </row>
    <row r="30" spans="9:9">
      <c r="I30" t="str">
        <f t="shared" si="0"/>
        <v/>
      </c>
    </row>
    <row r="31" spans="9:9">
      <c r="I31" t="str">
        <f t="shared" si="0"/>
        <v/>
      </c>
    </row>
    <row r="32" spans="9:9">
      <c r="I32" t="str">
        <f t="shared" si="0"/>
        <v/>
      </c>
    </row>
    <row r="33" spans="9:9">
      <c r="I33" t="str">
        <f t="shared" si="0"/>
        <v/>
      </c>
    </row>
    <row r="34" spans="9:9">
      <c r="I34" t="str">
        <f t="shared" si="0"/>
        <v/>
      </c>
    </row>
    <row r="35" spans="9:9">
      <c r="I35" t="str">
        <f t="shared" si="0"/>
        <v/>
      </c>
    </row>
    <row r="36" spans="9:9">
      <c r="I36" t="str">
        <f t="shared" si="0"/>
        <v/>
      </c>
    </row>
    <row r="37" spans="9:9">
      <c r="I37" t="str">
        <f t="shared" si="0"/>
        <v/>
      </c>
    </row>
    <row r="38" spans="9:9">
      <c r="I38" t="str">
        <f t="shared" si="0"/>
        <v/>
      </c>
    </row>
    <row r="39" spans="9:9">
      <c r="I39" t="str">
        <f t="shared" si="0"/>
        <v/>
      </c>
    </row>
    <row r="40" spans="9:9">
      <c r="I40" t="str">
        <f t="shared" si="0"/>
        <v/>
      </c>
    </row>
    <row r="41" spans="9:9">
      <c r="I41" t="str">
        <f t="shared" si="0"/>
        <v/>
      </c>
    </row>
    <row r="42" spans="9:9">
      <c r="I42" t="str">
        <f t="shared" si="0"/>
        <v/>
      </c>
    </row>
    <row r="43" spans="9:9">
      <c r="I43" t="str">
        <f t="shared" si="0"/>
        <v/>
      </c>
    </row>
    <row r="44" spans="9:9">
      <c r="I44" t="str">
        <f t="shared" si="0"/>
        <v/>
      </c>
    </row>
    <row r="45" spans="9:9">
      <c r="I45" t="str">
        <f t="shared" si="0"/>
        <v/>
      </c>
    </row>
    <row r="46" spans="9:9">
      <c r="I46" t="str">
        <f t="shared" si="0"/>
        <v/>
      </c>
    </row>
    <row r="47" spans="9:9">
      <c r="I47" t="str">
        <f t="shared" si="0"/>
        <v/>
      </c>
    </row>
    <row r="48" spans="9:9">
      <c r="I48" t="str">
        <f t="shared" si="0"/>
        <v/>
      </c>
    </row>
    <row r="49" spans="9:9">
      <c r="I49" t="str">
        <f t="shared" si="0"/>
        <v/>
      </c>
    </row>
    <row r="50" spans="9:9">
      <c r="I50" t="str">
        <f t="shared" si="0"/>
        <v/>
      </c>
    </row>
    <row r="51" spans="9:9">
      <c r="I51" t="str">
        <f t="shared" si="0"/>
        <v/>
      </c>
    </row>
    <row r="52" spans="9:9">
      <c r="I52" t="str">
        <f t="shared" si="0"/>
        <v/>
      </c>
    </row>
    <row r="53" spans="9:9">
      <c r="I53" t="str">
        <f t="shared" si="0"/>
        <v/>
      </c>
    </row>
    <row r="54" spans="9:9">
      <c r="I54" t="str">
        <f t="shared" si="0"/>
        <v/>
      </c>
    </row>
    <row r="55" spans="9:9">
      <c r="I55" t="str">
        <f t="shared" si="0"/>
        <v/>
      </c>
    </row>
    <row r="56" spans="9:9">
      <c r="I56" t="str">
        <f t="shared" si="0"/>
        <v/>
      </c>
    </row>
    <row r="57" spans="9:9">
      <c r="I57" t="str">
        <f t="shared" si="0"/>
        <v/>
      </c>
    </row>
    <row r="58" spans="9:9">
      <c r="I58" t="str">
        <f t="shared" si="0"/>
        <v/>
      </c>
    </row>
    <row r="59" spans="9:9">
      <c r="I59" t="str">
        <f t="shared" si="0"/>
        <v/>
      </c>
    </row>
    <row r="60" spans="9:9">
      <c r="I60" t="str">
        <f t="shared" si="0"/>
        <v/>
      </c>
    </row>
    <row r="61" spans="9:9">
      <c r="I61" t="str">
        <f t="shared" si="0"/>
        <v/>
      </c>
    </row>
    <row r="62" spans="9:9">
      <c r="I62" t="str">
        <f t="shared" si="0"/>
        <v/>
      </c>
    </row>
    <row r="63" spans="9:9">
      <c r="I63" t="str">
        <f t="shared" si="0"/>
        <v/>
      </c>
    </row>
    <row r="64" spans="9:9">
      <c r="I64" t="str">
        <f t="shared" si="0"/>
        <v/>
      </c>
    </row>
    <row r="65" spans="9:9">
      <c r="I65" t="str">
        <f t="shared" si="0"/>
        <v/>
      </c>
    </row>
    <row r="66" spans="9:9">
      <c r="I66" t="str">
        <f t="shared" ref="I66:I129" si="1">IF(A66="","",TEXT(A66,"yyyy-mm"))</f>
        <v/>
      </c>
    </row>
    <row r="67" spans="9:9">
      <c r="I67" t="str">
        <f t="shared" si="1"/>
        <v/>
      </c>
    </row>
    <row r="68" spans="9:9">
      <c r="I68" t="str">
        <f t="shared" si="1"/>
        <v/>
      </c>
    </row>
    <row r="69" spans="9:9">
      <c r="I69" t="str">
        <f t="shared" si="1"/>
        <v/>
      </c>
    </row>
    <row r="70" spans="9:9">
      <c r="I70" t="str">
        <f t="shared" si="1"/>
        <v/>
      </c>
    </row>
    <row r="71" spans="9:9">
      <c r="I71" t="str">
        <f t="shared" si="1"/>
        <v/>
      </c>
    </row>
    <row r="72" spans="9:9">
      <c r="I72" t="str">
        <f t="shared" si="1"/>
        <v/>
      </c>
    </row>
    <row r="73" spans="9:9">
      <c r="I73" t="str">
        <f t="shared" si="1"/>
        <v/>
      </c>
    </row>
    <row r="74" spans="9:9">
      <c r="I74" t="str">
        <f t="shared" si="1"/>
        <v/>
      </c>
    </row>
    <row r="75" spans="9:9">
      <c r="I75" t="str">
        <f t="shared" si="1"/>
        <v/>
      </c>
    </row>
    <row r="76" spans="9:9">
      <c r="I76" t="str">
        <f t="shared" si="1"/>
        <v/>
      </c>
    </row>
    <row r="77" spans="9:9">
      <c r="I77" t="str">
        <f t="shared" si="1"/>
        <v/>
      </c>
    </row>
    <row r="78" spans="9:9">
      <c r="I78" t="str">
        <f t="shared" si="1"/>
        <v/>
      </c>
    </row>
    <row r="79" spans="9:9">
      <c r="I79" t="str">
        <f t="shared" si="1"/>
        <v/>
      </c>
    </row>
    <row r="80" spans="9:9">
      <c r="I80" t="str">
        <f t="shared" si="1"/>
        <v/>
      </c>
    </row>
    <row r="81" spans="9:9">
      <c r="I81" t="str">
        <f t="shared" si="1"/>
        <v/>
      </c>
    </row>
    <row r="82" spans="9:9">
      <c r="I82" t="str">
        <f t="shared" si="1"/>
        <v/>
      </c>
    </row>
    <row r="83" spans="9:9">
      <c r="I83" t="str">
        <f t="shared" si="1"/>
        <v/>
      </c>
    </row>
    <row r="84" spans="9:9">
      <c r="I84" t="str">
        <f t="shared" si="1"/>
        <v/>
      </c>
    </row>
    <row r="85" spans="9:9">
      <c r="I85" t="str">
        <f t="shared" si="1"/>
        <v/>
      </c>
    </row>
    <row r="86" spans="9:9">
      <c r="I86" t="str">
        <f t="shared" si="1"/>
        <v/>
      </c>
    </row>
    <row r="87" spans="9:9">
      <c r="I87" t="str">
        <f t="shared" si="1"/>
        <v/>
      </c>
    </row>
    <row r="88" spans="9:9">
      <c r="I88" t="str">
        <f t="shared" si="1"/>
        <v/>
      </c>
    </row>
    <row r="89" spans="9:9">
      <c r="I89" t="str">
        <f t="shared" si="1"/>
        <v/>
      </c>
    </row>
    <row r="90" spans="9:9">
      <c r="I90" t="str">
        <f t="shared" si="1"/>
        <v/>
      </c>
    </row>
    <row r="91" spans="9:9">
      <c r="I91" t="str">
        <f t="shared" si="1"/>
        <v/>
      </c>
    </row>
    <row r="92" spans="9:9">
      <c r="I92" t="str">
        <f t="shared" si="1"/>
        <v/>
      </c>
    </row>
    <row r="93" spans="9:9">
      <c r="I93" t="str">
        <f t="shared" si="1"/>
        <v/>
      </c>
    </row>
    <row r="94" spans="9:9">
      <c r="I94" t="str">
        <f t="shared" si="1"/>
        <v/>
      </c>
    </row>
    <row r="95" spans="9:9">
      <c r="I95" t="str">
        <f t="shared" si="1"/>
        <v/>
      </c>
    </row>
    <row r="96" spans="9:9">
      <c r="I96" t="str">
        <f t="shared" si="1"/>
        <v/>
      </c>
    </row>
    <row r="97" spans="9:9">
      <c r="I97" t="str">
        <f t="shared" si="1"/>
        <v/>
      </c>
    </row>
    <row r="98" spans="9:9">
      <c r="I98" t="str">
        <f t="shared" si="1"/>
        <v/>
      </c>
    </row>
    <row r="99" spans="9:9">
      <c r="I99" t="str">
        <f t="shared" si="1"/>
        <v/>
      </c>
    </row>
    <row r="100" spans="9:9">
      <c r="I100" t="str">
        <f t="shared" si="1"/>
        <v/>
      </c>
    </row>
    <row r="101" spans="9:9">
      <c r="I101" t="str">
        <f t="shared" si="1"/>
        <v/>
      </c>
    </row>
    <row r="102" spans="9:9">
      <c r="I102" t="str">
        <f t="shared" si="1"/>
        <v/>
      </c>
    </row>
    <row r="103" spans="9:9">
      <c r="I103" t="str">
        <f t="shared" si="1"/>
        <v/>
      </c>
    </row>
    <row r="104" spans="9:9">
      <c r="I104" t="str">
        <f t="shared" si="1"/>
        <v/>
      </c>
    </row>
    <row r="105" spans="9:9">
      <c r="I105" t="str">
        <f t="shared" si="1"/>
        <v/>
      </c>
    </row>
    <row r="106" spans="9:9">
      <c r="I106" t="str">
        <f t="shared" si="1"/>
        <v/>
      </c>
    </row>
    <row r="107" spans="9:9">
      <c r="I107" t="str">
        <f t="shared" si="1"/>
        <v/>
      </c>
    </row>
    <row r="108" spans="9:9">
      <c r="I108" t="str">
        <f t="shared" si="1"/>
        <v/>
      </c>
    </row>
    <row r="109" spans="9:9">
      <c r="I109" t="str">
        <f t="shared" si="1"/>
        <v/>
      </c>
    </row>
    <row r="110" spans="9:9">
      <c r="I110" t="str">
        <f t="shared" si="1"/>
        <v/>
      </c>
    </row>
    <row r="111" spans="9:9">
      <c r="I111" t="str">
        <f t="shared" si="1"/>
        <v/>
      </c>
    </row>
    <row r="112" spans="9:9">
      <c r="I112" t="str">
        <f t="shared" si="1"/>
        <v/>
      </c>
    </row>
    <row r="113" spans="9:9">
      <c r="I113" t="str">
        <f t="shared" si="1"/>
        <v/>
      </c>
    </row>
    <row r="114" spans="9:9">
      <c r="I114" t="str">
        <f t="shared" si="1"/>
        <v/>
      </c>
    </row>
    <row r="115" spans="9:9">
      <c r="I115" t="str">
        <f t="shared" si="1"/>
        <v/>
      </c>
    </row>
    <row r="116" spans="9:9">
      <c r="I116" t="str">
        <f t="shared" si="1"/>
        <v/>
      </c>
    </row>
    <row r="117" spans="9:9">
      <c r="I117" t="str">
        <f t="shared" si="1"/>
        <v/>
      </c>
    </row>
    <row r="118" spans="9:9">
      <c r="I118" t="str">
        <f t="shared" si="1"/>
        <v/>
      </c>
    </row>
    <row r="119" spans="9:9">
      <c r="I119" t="str">
        <f t="shared" si="1"/>
        <v/>
      </c>
    </row>
    <row r="120" spans="9:9">
      <c r="I120" t="str">
        <f t="shared" si="1"/>
        <v/>
      </c>
    </row>
    <row r="121" spans="9:9">
      <c r="I121" t="str">
        <f t="shared" si="1"/>
        <v/>
      </c>
    </row>
    <row r="122" spans="9:9">
      <c r="I122" t="str">
        <f t="shared" si="1"/>
        <v/>
      </c>
    </row>
    <row r="123" spans="9:9">
      <c r="I123" t="str">
        <f t="shared" si="1"/>
        <v/>
      </c>
    </row>
    <row r="124" spans="9:9">
      <c r="I124" t="str">
        <f t="shared" si="1"/>
        <v/>
      </c>
    </row>
    <row r="125" spans="9:9">
      <c r="I125" t="str">
        <f t="shared" si="1"/>
        <v/>
      </c>
    </row>
    <row r="126" spans="9:9">
      <c r="I126" t="str">
        <f t="shared" si="1"/>
        <v/>
      </c>
    </row>
    <row r="127" spans="9:9">
      <c r="I127" t="str">
        <f t="shared" si="1"/>
        <v/>
      </c>
    </row>
    <row r="128" spans="9:9">
      <c r="I128" t="str">
        <f t="shared" si="1"/>
        <v/>
      </c>
    </row>
    <row r="129" spans="9:9">
      <c r="I129" t="str">
        <f t="shared" si="1"/>
        <v/>
      </c>
    </row>
    <row r="130" spans="9:9">
      <c r="I130" t="str">
        <f t="shared" ref="I130:I193" si="2">IF(A130="","",TEXT(A130,"yyyy-mm"))</f>
        <v/>
      </c>
    </row>
    <row r="131" spans="9:9">
      <c r="I131" t="str">
        <f t="shared" si="2"/>
        <v/>
      </c>
    </row>
    <row r="132" spans="9:9">
      <c r="I132" t="str">
        <f t="shared" si="2"/>
        <v/>
      </c>
    </row>
    <row r="133" spans="9:9">
      <c r="I133" t="str">
        <f t="shared" si="2"/>
        <v/>
      </c>
    </row>
    <row r="134" spans="9:9">
      <c r="I134" t="str">
        <f t="shared" si="2"/>
        <v/>
      </c>
    </row>
    <row r="135" spans="9:9">
      <c r="I135" t="str">
        <f t="shared" si="2"/>
        <v/>
      </c>
    </row>
    <row r="136" spans="9:9">
      <c r="I136" t="str">
        <f t="shared" si="2"/>
        <v/>
      </c>
    </row>
    <row r="137" spans="9:9">
      <c r="I137" t="str">
        <f t="shared" si="2"/>
        <v/>
      </c>
    </row>
    <row r="138" spans="9:9">
      <c r="I138" t="str">
        <f t="shared" si="2"/>
        <v/>
      </c>
    </row>
    <row r="139" spans="9:9">
      <c r="I139" t="str">
        <f t="shared" si="2"/>
        <v/>
      </c>
    </row>
    <row r="140" spans="9:9">
      <c r="I140" t="str">
        <f t="shared" si="2"/>
        <v/>
      </c>
    </row>
    <row r="141" spans="9:9">
      <c r="I141" t="str">
        <f t="shared" si="2"/>
        <v/>
      </c>
    </row>
    <row r="142" spans="9:9">
      <c r="I142" t="str">
        <f t="shared" si="2"/>
        <v/>
      </c>
    </row>
    <row r="143" spans="9:9">
      <c r="I143" t="str">
        <f t="shared" si="2"/>
        <v/>
      </c>
    </row>
    <row r="144" spans="9:9">
      <c r="I144" t="str">
        <f t="shared" si="2"/>
        <v/>
      </c>
    </row>
    <row r="145" spans="9:9">
      <c r="I145" t="str">
        <f t="shared" si="2"/>
        <v/>
      </c>
    </row>
    <row r="146" spans="9:9">
      <c r="I146" t="str">
        <f t="shared" si="2"/>
        <v/>
      </c>
    </row>
    <row r="147" spans="9:9">
      <c r="I147" t="str">
        <f t="shared" si="2"/>
        <v/>
      </c>
    </row>
    <row r="148" spans="9:9">
      <c r="I148" t="str">
        <f t="shared" si="2"/>
        <v/>
      </c>
    </row>
    <row r="149" spans="9:9">
      <c r="I149" t="str">
        <f t="shared" si="2"/>
        <v/>
      </c>
    </row>
    <row r="150" spans="9:9">
      <c r="I150" t="str">
        <f t="shared" si="2"/>
        <v/>
      </c>
    </row>
    <row r="151" spans="9:9">
      <c r="I151" t="str">
        <f t="shared" si="2"/>
        <v/>
      </c>
    </row>
    <row r="152" spans="9:9">
      <c r="I152" t="str">
        <f t="shared" si="2"/>
        <v/>
      </c>
    </row>
    <row r="153" spans="9:9">
      <c r="I153" t="str">
        <f t="shared" si="2"/>
        <v/>
      </c>
    </row>
    <row r="154" spans="9:9">
      <c r="I154" t="str">
        <f t="shared" si="2"/>
        <v/>
      </c>
    </row>
    <row r="155" spans="9:9">
      <c r="I155" t="str">
        <f t="shared" si="2"/>
        <v/>
      </c>
    </row>
    <row r="156" spans="9:9">
      <c r="I156" t="str">
        <f t="shared" si="2"/>
        <v/>
      </c>
    </row>
    <row r="157" spans="9:9">
      <c r="I157" t="str">
        <f t="shared" si="2"/>
        <v/>
      </c>
    </row>
    <row r="158" spans="9:9">
      <c r="I158" t="str">
        <f t="shared" si="2"/>
        <v/>
      </c>
    </row>
    <row r="159" spans="9:9">
      <c r="I159" t="str">
        <f t="shared" si="2"/>
        <v/>
      </c>
    </row>
    <row r="160" spans="9:9">
      <c r="I160" t="str">
        <f t="shared" si="2"/>
        <v/>
      </c>
    </row>
    <row r="161" spans="9:9">
      <c r="I161" t="str">
        <f t="shared" si="2"/>
        <v/>
      </c>
    </row>
    <row r="162" spans="9:9">
      <c r="I162" t="str">
        <f t="shared" si="2"/>
        <v/>
      </c>
    </row>
    <row r="163" spans="9:9">
      <c r="I163" t="str">
        <f t="shared" si="2"/>
        <v/>
      </c>
    </row>
    <row r="164" spans="9:9">
      <c r="I164" t="str">
        <f t="shared" si="2"/>
        <v/>
      </c>
    </row>
    <row r="165" spans="9:9">
      <c r="I165" t="str">
        <f t="shared" si="2"/>
        <v/>
      </c>
    </row>
    <row r="166" spans="9:9">
      <c r="I166" t="str">
        <f t="shared" si="2"/>
        <v/>
      </c>
    </row>
    <row r="167" spans="9:9">
      <c r="I167" t="str">
        <f t="shared" si="2"/>
        <v/>
      </c>
    </row>
    <row r="168" spans="9:9">
      <c r="I168" t="str">
        <f t="shared" si="2"/>
        <v/>
      </c>
    </row>
    <row r="169" spans="9:9">
      <c r="I169" t="str">
        <f t="shared" si="2"/>
        <v/>
      </c>
    </row>
    <row r="170" spans="9:9">
      <c r="I170" t="str">
        <f t="shared" si="2"/>
        <v/>
      </c>
    </row>
    <row r="171" spans="9:9">
      <c r="I171" t="str">
        <f t="shared" si="2"/>
        <v/>
      </c>
    </row>
    <row r="172" spans="9:9">
      <c r="I172" t="str">
        <f t="shared" si="2"/>
        <v/>
      </c>
    </row>
    <row r="173" spans="9:9">
      <c r="I173" t="str">
        <f t="shared" si="2"/>
        <v/>
      </c>
    </row>
    <row r="174" spans="9:9">
      <c r="I174" t="str">
        <f t="shared" si="2"/>
        <v/>
      </c>
    </row>
    <row r="175" spans="9:9">
      <c r="I175" t="str">
        <f t="shared" si="2"/>
        <v/>
      </c>
    </row>
    <row r="176" spans="9:9">
      <c r="I176" t="str">
        <f t="shared" si="2"/>
        <v/>
      </c>
    </row>
    <row r="177" spans="9:9">
      <c r="I177" t="str">
        <f t="shared" si="2"/>
        <v/>
      </c>
    </row>
    <row r="178" spans="9:9">
      <c r="I178" t="str">
        <f t="shared" si="2"/>
        <v/>
      </c>
    </row>
    <row r="179" spans="9:9">
      <c r="I179" t="str">
        <f t="shared" si="2"/>
        <v/>
      </c>
    </row>
    <row r="180" spans="9:9">
      <c r="I180" t="str">
        <f t="shared" si="2"/>
        <v/>
      </c>
    </row>
    <row r="181" spans="9:9">
      <c r="I181" t="str">
        <f t="shared" si="2"/>
        <v/>
      </c>
    </row>
    <row r="182" spans="9:9">
      <c r="I182" t="str">
        <f t="shared" si="2"/>
        <v/>
      </c>
    </row>
    <row r="183" spans="9:9">
      <c r="I183" t="str">
        <f t="shared" si="2"/>
        <v/>
      </c>
    </row>
    <row r="184" spans="9:9">
      <c r="I184" t="str">
        <f t="shared" si="2"/>
        <v/>
      </c>
    </row>
    <row r="185" spans="9:9">
      <c r="I185" t="str">
        <f t="shared" si="2"/>
        <v/>
      </c>
    </row>
    <row r="186" spans="9:9">
      <c r="I186" t="str">
        <f t="shared" si="2"/>
        <v/>
      </c>
    </row>
    <row r="187" spans="9:9">
      <c r="I187" t="str">
        <f t="shared" si="2"/>
        <v/>
      </c>
    </row>
    <row r="188" spans="9:9">
      <c r="I188" t="str">
        <f t="shared" si="2"/>
        <v/>
      </c>
    </row>
    <row r="189" spans="9:9">
      <c r="I189" t="str">
        <f t="shared" si="2"/>
        <v/>
      </c>
    </row>
    <row r="190" spans="9:9">
      <c r="I190" t="str">
        <f t="shared" si="2"/>
        <v/>
      </c>
    </row>
    <row r="191" spans="9:9">
      <c r="I191" t="str">
        <f t="shared" si="2"/>
        <v/>
      </c>
    </row>
    <row r="192" spans="9:9">
      <c r="I192" t="str">
        <f t="shared" si="2"/>
        <v/>
      </c>
    </row>
    <row r="193" spans="9:9">
      <c r="I193" t="str">
        <f t="shared" si="2"/>
        <v/>
      </c>
    </row>
    <row r="194" spans="9:9">
      <c r="I194" t="str">
        <f t="shared" ref="I194:I257" si="3">IF(A194="","",TEXT(A194,"yyyy-mm"))</f>
        <v/>
      </c>
    </row>
    <row r="195" spans="9:9">
      <c r="I195" t="str">
        <f t="shared" si="3"/>
        <v/>
      </c>
    </row>
    <row r="196" spans="9:9">
      <c r="I196" t="str">
        <f t="shared" si="3"/>
        <v/>
      </c>
    </row>
    <row r="197" spans="9:9">
      <c r="I197" t="str">
        <f t="shared" si="3"/>
        <v/>
      </c>
    </row>
    <row r="198" spans="9:9">
      <c r="I198" t="str">
        <f t="shared" si="3"/>
        <v/>
      </c>
    </row>
    <row r="199" spans="9:9">
      <c r="I199" t="str">
        <f t="shared" si="3"/>
        <v/>
      </c>
    </row>
    <row r="200" spans="9:9">
      <c r="I200" t="str">
        <f t="shared" si="3"/>
        <v/>
      </c>
    </row>
    <row r="201" spans="9:9">
      <c r="I201" t="str">
        <f t="shared" si="3"/>
        <v/>
      </c>
    </row>
    <row r="202" spans="9:9">
      <c r="I202" t="str">
        <f t="shared" si="3"/>
        <v/>
      </c>
    </row>
    <row r="203" spans="9:9">
      <c r="I203" t="str">
        <f t="shared" si="3"/>
        <v/>
      </c>
    </row>
    <row r="204" spans="9:9">
      <c r="I204" t="str">
        <f t="shared" si="3"/>
        <v/>
      </c>
    </row>
    <row r="205" spans="9:9">
      <c r="I205" t="str">
        <f t="shared" si="3"/>
        <v/>
      </c>
    </row>
    <row r="206" spans="9:9">
      <c r="I206" t="str">
        <f t="shared" si="3"/>
        <v/>
      </c>
    </row>
    <row r="207" spans="9:9">
      <c r="I207" t="str">
        <f t="shared" si="3"/>
        <v/>
      </c>
    </row>
    <row r="208" spans="9:9">
      <c r="I208" t="str">
        <f t="shared" si="3"/>
        <v/>
      </c>
    </row>
    <row r="209" spans="9:9">
      <c r="I209" t="str">
        <f t="shared" si="3"/>
        <v/>
      </c>
    </row>
    <row r="210" spans="9:9">
      <c r="I210" t="str">
        <f t="shared" si="3"/>
        <v/>
      </c>
    </row>
    <row r="211" spans="9:9">
      <c r="I211" t="str">
        <f t="shared" si="3"/>
        <v/>
      </c>
    </row>
    <row r="212" spans="9:9">
      <c r="I212" t="str">
        <f t="shared" si="3"/>
        <v/>
      </c>
    </row>
    <row r="213" spans="9:9">
      <c r="I213" t="str">
        <f t="shared" si="3"/>
        <v/>
      </c>
    </row>
    <row r="214" spans="9:9">
      <c r="I214" t="str">
        <f t="shared" si="3"/>
        <v/>
      </c>
    </row>
    <row r="215" spans="9:9">
      <c r="I215" t="str">
        <f t="shared" si="3"/>
        <v/>
      </c>
    </row>
    <row r="216" spans="9:9">
      <c r="I216" t="str">
        <f t="shared" si="3"/>
        <v/>
      </c>
    </row>
    <row r="217" spans="9:9">
      <c r="I217" t="str">
        <f t="shared" si="3"/>
        <v/>
      </c>
    </row>
    <row r="218" spans="9:9">
      <c r="I218" t="str">
        <f t="shared" si="3"/>
        <v/>
      </c>
    </row>
    <row r="219" spans="9:9">
      <c r="I219" t="str">
        <f t="shared" si="3"/>
        <v/>
      </c>
    </row>
    <row r="220" spans="9:9">
      <c r="I220" t="str">
        <f t="shared" si="3"/>
        <v/>
      </c>
    </row>
    <row r="221" spans="9:9">
      <c r="I221" t="str">
        <f t="shared" si="3"/>
        <v/>
      </c>
    </row>
    <row r="222" spans="9:9">
      <c r="I222" t="str">
        <f t="shared" si="3"/>
        <v/>
      </c>
    </row>
    <row r="223" spans="9:9">
      <c r="I223" t="str">
        <f t="shared" si="3"/>
        <v/>
      </c>
    </row>
    <row r="224" spans="9:9">
      <c r="I224" t="str">
        <f t="shared" si="3"/>
        <v/>
      </c>
    </row>
    <row r="225" spans="9:9">
      <c r="I225" t="str">
        <f t="shared" si="3"/>
        <v/>
      </c>
    </row>
    <row r="226" spans="9:9">
      <c r="I226" t="str">
        <f t="shared" si="3"/>
        <v/>
      </c>
    </row>
    <row r="227" spans="9:9">
      <c r="I227" t="str">
        <f t="shared" si="3"/>
        <v/>
      </c>
    </row>
    <row r="228" spans="9:9">
      <c r="I228" t="str">
        <f t="shared" si="3"/>
        <v/>
      </c>
    </row>
    <row r="229" spans="9:9">
      <c r="I229" t="str">
        <f t="shared" si="3"/>
        <v/>
      </c>
    </row>
    <row r="230" spans="9:9">
      <c r="I230" t="str">
        <f t="shared" si="3"/>
        <v/>
      </c>
    </row>
    <row r="231" spans="9:9">
      <c r="I231" t="str">
        <f t="shared" si="3"/>
        <v/>
      </c>
    </row>
    <row r="232" spans="9:9">
      <c r="I232" t="str">
        <f t="shared" si="3"/>
        <v/>
      </c>
    </row>
    <row r="233" spans="9:9">
      <c r="I233" t="str">
        <f t="shared" si="3"/>
        <v/>
      </c>
    </row>
    <row r="234" spans="9:9">
      <c r="I234" t="str">
        <f t="shared" si="3"/>
        <v/>
      </c>
    </row>
    <row r="235" spans="9:9">
      <c r="I235" t="str">
        <f t="shared" si="3"/>
        <v/>
      </c>
    </row>
    <row r="236" spans="9:9">
      <c r="I236" t="str">
        <f t="shared" si="3"/>
        <v/>
      </c>
    </row>
    <row r="237" spans="9:9">
      <c r="I237" t="str">
        <f t="shared" si="3"/>
        <v/>
      </c>
    </row>
    <row r="238" spans="9:9">
      <c r="I238" t="str">
        <f t="shared" si="3"/>
        <v/>
      </c>
    </row>
    <row r="239" spans="9:9">
      <c r="I239" t="str">
        <f t="shared" si="3"/>
        <v/>
      </c>
    </row>
    <row r="240" spans="9:9">
      <c r="I240" t="str">
        <f t="shared" si="3"/>
        <v/>
      </c>
    </row>
    <row r="241" spans="9:9">
      <c r="I241" t="str">
        <f t="shared" si="3"/>
        <v/>
      </c>
    </row>
    <row r="242" spans="9:9">
      <c r="I242" t="str">
        <f t="shared" si="3"/>
        <v/>
      </c>
    </row>
    <row r="243" spans="9:9">
      <c r="I243" t="str">
        <f t="shared" si="3"/>
        <v/>
      </c>
    </row>
    <row r="244" spans="9:9">
      <c r="I244" t="str">
        <f t="shared" si="3"/>
        <v/>
      </c>
    </row>
    <row r="245" spans="9:9">
      <c r="I245" t="str">
        <f t="shared" si="3"/>
        <v/>
      </c>
    </row>
    <row r="246" spans="9:9">
      <c r="I246" t="str">
        <f t="shared" si="3"/>
        <v/>
      </c>
    </row>
    <row r="247" spans="9:9">
      <c r="I247" t="str">
        <f t="shared" si="3"/>
        <v/>
      </c>
    </row>
    <row r="248" spans="9:9">
      <c r="I248" t="str">
        <f t="shared" si="3"/>
        <v/>
      </c>
    </row>
    <row r="249" spans="9:9">
      <c r="I249" t="str">
        <f t="shared" si="3"/>
        <v/>
      </c>
    </row>
    <row r="250" spans="9:9">
      <c r="I250" t="str">
        <f t="shared" si="3"/>
        <v/>
      </c>
    </row>
    <row r="251" spans="9:9">
      <c r="I251" t="str">
        <f t="shared" si="3"/>
        <v/>
      </c>
    </row>
    <row r="252" spans="9:9">
      <c r="I252" t="str">
        <f t="shared" si="3"/>
        <v/>
      </c>
    </row>
    <row r="253" spans="9:9">
      <c r="I253" t="str">
        <f t="shared" si="3"/>
        <v/>
      </c>
    </row>
    <row r="254" spans="9:9">
      <c r="I254" t="str">
        <f t="shared" si="3"/>
        <v/>
      </c>
    </row>
    <row r="255" spans="9:9">
      <c r="I255" t="str">
        <f t="shared" si="3"/>
        <v/>
      </c>
    </row>
    <row r="256" spans="9:9">
      <c r="I256" t="str">
        <f t="shared" si="3"/>
        <v/>
      </c>
    </row>
    <row r="257" spans="9:9">
      <c r="I257" t="str">
        <f t="shared" si="3"/>
        <v/>
      </c>
    </row>
    <row r="258" spans="9:9">
      <c r="I258" t="str">
        <f t="shared" ref="I258:I321" si="4">IF(A258="","",TEXT(A258,"yyyy-mm"))</f>
        <v/>
      </c>
    </row>
    <row r="259" spans="9:9">
      <c r="I259" t="str">
        <f t="shared" si="4"/>
        <v/>
      </c>
    </row>
    <row r="260" spans="9:9">
      <c r="I260" t="str">
        <f t="shared" si="4"/>
        <v/>
      </c>
    </row>
    <row r="261" spans="9:9">
      <c r="I261" t="str">
        <f t="shared" si="4"/>
        <v/>
      </c>
    </row>
    <row r="262" spans="9:9">
      <c r="I262" t="str">
        <f t="shared" si="4"/>
        <v/>
      </c>
    </row>
    <row r="263" spans="9:9">
      <c r="I263" t="str">
        <f t="shared" si="4"/>
        <v/>
      </c>
    </row>
    <row r="264" spans="9:9">
      <c r="I264" t="str">
        <f t="shared" si="4"/>
        <v/>
      </c>
    </row>
    <row r="265" spans="9:9">
      <c r="I265" t="str">
        <f t="shared" si="4"/>
        <v/>
      </c>
    </row>
    <row r="266" spans="9:9">
      <c r="I266" t="str">
        <f t="shared" si="4"/>
        <v/>
      </c>
    </row>
    <row r="267" spans="9:9">
      <c r="I267" t="str">
        <f t="shared" si="4"/>
        <v/>
      </c>
    </row>
    <row r="268" spans="9:9">
      <c r="I268" t="str">
        <f t="shared" si="4"/>
        <v/>
      </c>
    </row>
    <row r="269" spans="9:9">
      <c r="I269" t="str">
        <f t="shared" si="4"/>
        <v/>
      </c>
    </row>
    <row r="270" spans="9:9">
      <c r="I270" t="str">
        <f t="shared" si="4"/>
        <v/>
      </c>
    </row>
    <row r="271" spans="9:9">
      <c r="I271" t="str">
        <f t="shared" si="4"/>
        <v/>
      </c>
    </row>
    <row r="272" spans="9:9">
      <c r="I272" t="str">
        <f t="shared" si="4"/>
        <v/>
      </c>
    </row>
    <row r="273" spans="9:9">
      <c r="I273" t="str">
        <f t="shared" si="4"/>
        <v/>
      </c>
    </row>
    <row r="274" spans="9:9">
      <c r="I274" t="str">
        <f t="shared" si="4"/>
        <v/>
      </c>
    </row>
    <row r="275" spans="9:9">
      <c r="I275" t="str">
        <f t="shared" si="4"/>
        <v/>
      </c>
    </row>
    <row r="276" spans="9:9">
      <c r="I276" t="str">
        <f t="shared" si="4"/>
        <v/>
      </c>
    </row>
    <row r="277" spans="9:9">
      <c r="I277" t="str">
        <f t="shared" si="4"/>
        <v/>
      </c>
    </row>
    <row r="278" spans="9:9">
      <c r="I278" t="str">
        <f t="shared" si="4"/>
        <v/>
      </c>
    </row>
    <row r="279" spans="9:9">
      <c r="I279" t="str">
        <f t="shared" si="4"/>
        <v/>
      </c>
    </row>
    <row r="280" spans="9:9">
      <c r="I280" t="str">
        <f t="shared" si="4"/>
        <v/>
      </c>
    </row>
    <row r="281" spans="9:9">
      <c r="I281" t="str">
        <f t="shared" si="4"/>
        <v/>
      </c>
    </row>
    <row r="282" spans="9:9">
      <c r="I282" t="str">
        <f t="shared" si="4"/>
        <v/>
      </c>
    </row>
    <row r="283" spans="9:9">
      <c r="I283" t="str">
        <f t="shared" si="4"/>
        <v/>
      </c>
    </row>
    <row r="284" spans="9:9">
      <c r="I284" t="str">
        <f t="shared" si="4"/>
        <v/>
      </c>
    </row>
    <row r="285" spans="9:9">
      <c r="I285" t="str">
        <f t="shared" si="4"/>
        <v/>
      </c>
    </row>
    <row r="286" spans="9:9">
      <c r="I286" t="str">
        <f t="shared" si="4"/>
        <v/>
      </c>
    </row>
    <row r="287" spans="9:9">
      <c r="I287" t="str">
        <f t="shared" si="4"/>
        <v/>
      </c>
    </row>
    <row r="288" spans="9:9">
      <c r="I288" t="str">
        <f t="shared" si="4"/>
        <v/>
      </c>
    </row>
    <row r="289" spans="9:9">
      <c r="I289" t="str">
        <f t="shared" si="4"/>
        <v/>
      </c>
    </row>
    <row r="290" spans="9:9">
      <c r="I290" t="str">
        <f t="shared" si="4"/>
        <v/>
      </c>
    </row>
    <row r="291" spans="9:9">
      <c r="I291" t="str">
        <f t="shared" si="4"/>
        <v/>
      </c>
    </row>
    <row r="292" spans="9:9">
      <c r="I292" t="str">
        <f t="shared" si="4"/>
        <v/>
      </c>
    </row>
    <row r="293" spans="9:9">
      <c r="I293" t="str">
        <f t="shared" si="4"/>
        <v/>
      </c>
    </row>
    <row r="294" spans="9:9">
      <c r="I294" t="str">
        <f t="shared" si="4"/>
        <v/>
      </c>
    </row>
    <row r="295" spans="9:9">
      <c r="I295" t="str">
        <f t="shared" si="4"/>
        <v/>
      </c>
    </row>
    <row r="296" spans="9:9">
      <c r="I296" t="str">
        <f t="shared" si="4"/>
        <v/>
      </c>
    </row>
    <row r="297" spans="9:9">
      <c r="I297" t="str">
        <f t="shared" si="4"/>
        <v/>
      </c>
    </row>
    <row r="298" spans="9:9">
      <c r="I298" t="str">
        <f t="shared" si="4"/>
        <v/>
      </c>
    </row>
    <row r="299" spans="9:9">
      <c r="I299" t="str">
        <f t="shared" si="4"/>
        <v/>
      </c>
    </row>
    <row r="300" spans="9:9">
      <c r="I300" t="str">
        <f t="shared" si="4"/>
        <v/>
      </c>
    </row>
    <row r="301" spans="9:9">
      <c r="I301" t="str">
        <f t="shared" si="4"/>
        <v/>
      </c>
    </row>
    <row r="302" spans="9:9">
      <c r="I302" t="str">
        <f t="shared" si="4"/>
        <v/>
      </c>
    </row>
    <row r="303" spans="9:9">
      <c r="I303" t="str">
        <f t="shared" si="4"/>
        <v/>
      </c>
    </row>
    <row r="304" spans="9:9">
      <c r="I304" t="str">
        <f t="shared" si="4"/>
        <v/>
      </c>
    </row>
    <row r="305" spans="9:9">
      <c r="I305" t="str">
        <f t="shared" si="4"/>
        <v/>
      </c>
    </row>
    <row r="306" spans="9:9">
      <c r="I306" t="str">
        <f t="shared" si="4"/>
        <v/>
      </c>
    </row>
    <row r="307" spans="9:9">
      <c r="I307" t="str">
        <f t="shared" si="4"/>
        <v/>
      </c>
    </row>
    <row r="308" spans="9:9">
      <c r="I308" t="str">
        <f t="shared" si="4"/>
        <v/>
      </c>
    </row>
    <row r="309" spans="9:9">
      <c r="I309" t="str">
        <f t="shared" si="4"/>
        <v/>
      </c>
    </row>
    <row r="310" spans="9:9">
      <c r="I310" t="str">
        <f t="shared" si="4"/>
        <v/>
      </c>
    </row>
    <row r="311" spans="9:9">
      <c r="I311" t="str">
        <f t="shared" si="4"/>
        <v/>
      </c>
    </row>
    <row r="312" spans="9:9">
      <c r="I312" t="str">
        <f t="shared" si="4"/>
        <v/>
      </c>
    </row>
    <row r="313" spans="9:9">
      <c r="I313" t="str">
        <f t="shared" si="4"/>
        <v/>
      </c>
    </row>
    <row r="314" spans="9:9">
      <c r="I314" t="str">
        <f t="shared" si="4"/>
        <v/>
      </c>
    </row>
    <row r="315" spans="9:9">
      <c r="I315" t="str">
        <f t="shared" si="4"/>
        <v/>
      </c>
    </row>
    <row r="316" spans="9:9">
      <c r="I316" t="str">
        <f t="shared" si="4"/>
        <v/>
      </c>
    </row>
    <row r="317" spans="9:9">
      <c r="I317" t="str">
        <f t="shared" si="4"/>
        <v/>
      </c>
    </row>
    <row r="318" spans="9:9">
      <c r="I318" t="str">
        <f t="shared" si="4"/>
        <v/>
      </c>
    </row>
    <row r="319" spans="9:9">
      <c r="I319" t="str">
        <f t="shared" si="4"/>
        <v/>
      </c>
    </row>
    <row r="320" spans="9:9">
      <c r="I320" t="str">
        <f t="shared" si="4"/>
        <v/>
      </c>
    </row>
    <row r="321" spans="9:9">
      <c r="I321" t="str">
        <f t="shared" si="4"/>
        <v/>
      </c>
    </row>
    <row r="322" spans="9:9">
      <c r="I322" t="str">
        <f t="shared" ref="I322:I385" si="5">IF(A322="","",TEXT(A322,"yyyy-mm"))</f>
        <v/>
      </c>
    </row>
    <row r="323" spans="9:9">
      <c r="I323" t="str">
        <f t="shared" si="5"/>
        <v/>
      </c>
    </row>
    <row r="324" spans="9:9">
      <c r="I324" t="str">
        <f t="shared" si="5"/>
        <v/>
      </c>
    </row>
    <row r="325" spans="9:9">
      <c r="I325" t="str">
        <f t="shared" si="5"/>
        <v/>
      </c>
    </row>
    <row r="326" spans="9:9">
      <c r="I326" t="str">
        <f t="shared" si="5"/>
        <v/>
      </c>
    </row>
    <row r="327" spans="9:9">
      <c r="I327" t="str">
        <f t="shared" si="5"/>
        <v/>
      </c>
    </row>
    <row r="328" spans="9:9">
      <c r="I328" t="str">
        <f t="shared" si="5"/>
        <v/>
      </c>
    </row>
    <row r="329" spans="9:9">
      <c r="I329" t="str">
        <f t="shared" si="5"/>
        <v/>
      </c>
    </row>
    <row r="330" spans="9:9">
      <c r="I330" t="str">
        <f t="shared" si="5"/>
        <v/>
      </c>
    </row>
    <row r="331" spans="9:9">
      <c r="I331" t="str">
        <f t="shared" si="5"/>
        <v/>
      </c>
    </row>
    <row r="332" spans="9:9">
      <c r="I332" t="str">
        <f t="shared" si="5"/>
        <v/>
      </c>
    </row>
    <row r="333" spans="9:9">
      <c r="I333" t="str">
        <f t="shared" si="5"/>
        <v/>
      </c>
    </row>
    <row r="334" spans="9:9">
      <c r="I334" t="str">
        <f t="shared" si="5"/>
        <v/>
      </c>
    </row>
    <row r="335" spans="9:9">
      <c r="I335" t="str">
        <f t="shared" si="5"/>
        <v/>
      </c>
    </row>
    <row r="336" spans="9:9">
      <c r="I336" t="str">
        <f t="shared" si="5"/>
        <v/>
      </c>
    </row>
    <row r="337" spans="9:9">
      <c r="I337" t="str">
        <f t="shared" si="5"/>
        <v/>
      </c>
    </row>
    <row r="338" spans="9:9">
      <c r="I338" t="str">
        <f t="shared" si="5"/>
        <v/>
      </c>
    </row>
    <row r="339" spans="9:9">
      <c r="I339" t="str">
        <f t="shared" si="5"/>
        <v/>
      </c>
    </row>
    <row r="340" spans="9:9">
      <c r="I340" t="str">
        <f t="shared" si="5"/>
        <v/>
      </c>
    </row>
    <row r="341" spans="9:9">
      <c r="I341" t="str">
        <f t="shared" si="5"/>
        <v/>
      </c>
    </row>
    <row r="342" spans="9:9">
      <c r="I342" t="str">
        <f t="shared" si="5"/>
        <v/>
      </c>
    </row>
    <row r="343" spans="9:9">
      <c r="I343" t="str">
        <f t="shared" si="5"/>
        <v/>
      </c>
    </row>
    <row r="344" spans="9:9">
      <c r="I344" t="str">
        <f t="shared" si="5"/>
        <v/>
      </c>
    </row>
    <row r="345" spans="9:9">
      <c r="I345" t="str">
        <f t="shared" si="5"/>
        <v/>
      </c>
    </row>
    <row r="346" spans="9:9">
      <c r="I346" t="str">
        <f t="shared" si="5"/>
        <v/>
      </c>
    </row>
    <row r="347" spans="9:9">
      <c r="I347" t="str">
        <f t="shared" si="5"/>
        <v/>
      </c>
    </row>
    <row r="348" spans="9:9">
      <c r="I348" t="str">
        <f t="shared" si="5"/>
        <v/>
      </c>
    </row>
    <row r="349" spans="9:9">
      <c r="I349" t="str">
        <f t="shared" si="5"/>
        <v/>
      </c>
    </row>
    <row r="350" spans="9:9">
      <c r="I350" t="str">
        <f t="shared" si="5"/>
        <v/>
      </c>
    </row>
    <row r="351" spans="9:9">
      <c r="I351" t="str">
        <f t="shared" si="5"/>
        <v/>
      </c>
    </row>
    <row r="352" spans="9:9">
      <c r="I352" t="str">
        <f t="shared" si="5"/>
        <v/>
      </c>
    </row>
    <row r="353" spans="9:9">
      <c r="I353" t="str">
        <f t="shared" si="5"/>
        <v/>
      </c>
    </row>
    <row r="354" spans="9:9">
      <c r="I354" t="str">
        <f t="shared" si="5"/>
        <v/>
      </c>
    </row>
    <row r="355" spans="9:9">
      <c r="I355" t="str">
        <f t="shared" si="5"/>
        <v/>
      </c>
    </row>
    <row r="356" spans="9:9">
      <c r="I356" t="str">
        <f t="shared" si="5"/>
        <v/>
      </c>
    </row>
    <row r="357" spans="9:9">
      <c r="I357" t="str">
        <f t="shared" si="5"/>
        <v/>
      </c>
    </row>
    <row r="358" spans="9:9">
      <c r="I358" t="str">
        <f t="shared" si="5"/>
        <v/>
      </c>
    </row>
    <row r="359" spans="9:9">
      <c r="I359" t="str">
        <f t="shared" si="5"/>
        <v/>
      </c>
    </row>
    <row r="360" spans="9:9">
      <c r="I360" t="str">
        <f t="shared" si="5"/>
        <v/>
      </c>
    </row>
    <row r="361" spans="9:9">
      <c r="I361" t="str">
        <f t="shared" si="5"/>
        <v/>
      </c>
    </row>
    <row r="362" spans="9:9">
      <c r="I362" t="str">
        <f t="shared" si="5"/>
        <v/>
      </c>
    </row>
    <row r="363" spans="9:9">
      <c r="I363" t="str">
        <f t="shared" si="5"/>
        <v/>
      </c>
    </row>
    <row r="364" spans="9:9">
      <c r="I364" t="str">
        <f t="shared" si="5"/>
        <v/>
      </c>
    </row>
    <row r="365" spans="9:9">
      <c r="I365" t="str">
        <f t="shared" si="5"/>
        <v/>
      </c>
    </row>
    <row r="366" spans="9:9">
      <c r="I366" t="str">
        <f t="shared" si="5"/>
        <v/>
      </c>
    </row>
    <row r="367" spans="9:9">
      <c r="I367" t="str">
        <f t="shared" si="5"/>
        <v/>
      </c>
    </row>
    <row r="368" spans="9:9">
      <c r="I368" t="str">
        <f t="shared" si="5"/>
        <v/>
      </c>
    </row>
    <row r="369" spans="9:9">
      <c r="I369" t="str">
        <f t="shared" si="5"/>
        <v/>
      </c>
    </row>
    <row r="370" spans="9:9">
      <c r="I370" t="str">
        <f t="shared" si="5"/>
        <v/>
      </c>
    </row>
    <row r="371" spans="9:9">
      <c r="I371" t="str">
        <f t="shared" si="5"/>
        <v/>
      </c>
    </row>
    <row r="372" spans="9:9">
      <c r="I372" t="str">
        <f t="shared" si="5"/>
        <v/>
      </c>
    </row>
    <row r="373" spans="9:9">
      <c r="I373" t="str">
        <f t="shared" si="5"/>
        <v/>
      </c>
    </row>
    <row r="374" spans="9:9">
      <c r="I374" t="str">
        <f t="shared" si="5"/>
        <v/>
      </c>
    </row>
    <row r="375" spans="9:9">
      <c r="I375" t="str">
        <f t="shared" si="5"/>
        <v/>
      </c>
    </row>
    <row r="376" spans="9:9">
      <c r="I376" t="str">
        <f t="shared" si="5"/>
        <v/>
      </c>
    </row>
    <row r="377" spans="9:9">
      <c r="I377" t="str">
        <f t="shared" si="5"/>
        <v/>
      </c>
    </row>
    <row r="378" spans="9:9">
      <c r="I378" t="str">
        <f t="shared" si="5"/>
        <v/>
      </c>
    </row>
    <row r="379" spans="9:9">
      <c r="I379" t="str">
        <f t="shared" si="5"/>
        <v/>
      </c>
    </row>
    <row r="380" spans="9:9">
      <c r="I380" t="str">
        <f t="shared" si="5"/>
        <v/>
      </c>
    </row>
    <row r="381" spans="9:9">
      <c r="I381" t="str">
        <f t="shared" si="5"/>
        <v/>
      </c>
    </row>
    <row r="382" spans="9:9">
      <c r="I382" t="str">
        <f t="shared" si="5"/>
        <v/>
      </c>
    </row>
    <row r="383" spans="9:9">
      <c r="I383" t="str">
        <f t="shared" si="5"/>
        <v/>
      </c>
    </row>
    <row r="384" spans="9:9">
      <c r="I384" t="str">
        <f t="shared" si="5"/>
        <v/>
      </c>
    </row>
    <row r="385" spans="9:9">
      <c r="I385" t="str">
        <f t="shared" si="5"/>
        <v/>
      </c>
    </row>
    <row r="386" spans="9:9">
      <c r="I386" t="str">
        <f t="shared" ref="I386:I449" si="6">IF(A386="","",TEXT(A386,"yyyy-mm"))</f>
        <v/>
      </c>
    </row>
    <row r="387" spans="9:9">
      <c r="I387" t="str">
        <f t="shared" si="6"/>
        <v/>
      </c>
    </row>
    <row r="388" spans="9:9">
      <c r="I388" t="str">
        <f t="shared" si="6"/>
        <v/>
      </c>
    </row>
    <row r="389" spans="9:9">
      <c r="I389" t="str">
        <f t="shared" si="6"/>
        <v/>
      </c>
    </row>
    <row r="390" spans="9:9">
      <c r="I390" t="str">
        <f t="shared" si="6"/>
        <v/>
      </c>
    </row>
    <row r="391" spans="9:9">
      <c r="I391" t="str">
        <f t="shared" si="6"/>
        <v/>
      </c>
    </row>
    <row r="392" spans="9:9">
      <c r="I392" t="str">
        <f t="shared" si="6"/>
        <v/>
      </c>
    </row>
    <row r="393" spans="9:9">
      <c r="I393" t="str">
        <f t="shared" si="6"/>
        <v/>
      </c>
    </row>
    <row r="394" spans="9:9">
      <c r="I394" t="str">
        <f t="shared" si="6"/>
        <v/>
      </c>
    </row>
    <row r="395" spans="9:9">
      <c r="I395" t="str">
        <f t="shared" si="6"/>
        <v/>
      </c>
    </row>
    <row r="396" spans="9:9">
      <c r="I396" t="str">
        <f t="shared" si="6"/>
        <v/>
      </c>
    </row>
    <row r="397" spans="9:9">
      <c r="I397" t="str">
        <f t="shared" si="6"/>
        <v/>
      </c>
    </row>
    <row r="398" spans="9:9">
      <c r="I398" t="str">
        <f t="shared" si="6"/>
        <v/>
      </c>
    </row>
    <row r="399" spans="9:9">
      <c r="I399" t="str">
        <f t="shared" si="6"/>
        <v/>
      </c>
    </row>
    <row r="400" spans="9:9">
      <c r="I400" t="str">
        <f t="shared" si="6"/>
        <v/>
      </c>
    </row>
    <row r="401" spans="9:9">
      <c r="I401" t="str">
        <f t="shared" si="6"/>
        <v/>
      </c>
    </row>
    <row r="402" spans="9:9">
      <c r="I402" t="str">
        <f t="shared" si="6"/>
        <v/>
      </c>
    </row>
    <row r="403" spans="9:9">
      <c r="I403" t="str">
        <f t="shared" si="6"/>
        <v/>
      </c>
    </row>
    <row r="404" spans="9:9">
      <c r="I404" t="str">
        <f t="shared" si="6"/>
        <v/>
      </c>
    </row>
    <row r="405" spans="9:9">
      <c r="I405" t="str">
        <f t="shared" si="6"/>
        <v/>
      </c>
    </row>
    <row r="406" spans="9:9">
      <c r="I406" t="str">
        <f t="shared" si="6"/>
        <v/>
      </c>
    </row>
    <row r="407" spans="9:9">
      <c r="I407" t="str">
        <f t="shared" si="6"/>
        <v/>
      </c>
    </row>
    <row r="408" spans="9:9">
      <c r="I408" t="str">
        <f t="shared" si="6"/>
        <v/>
      </c>
    </row>
    <row r="409" spans="9:9">
      <c r="I409" t="str">
        <f t="shared" si="6"/>
        <v/>
      </c>
    </row>
    <row r="410" spans="9:9">
      <c r="I410" t="str">
        <f t="shared" si="6"/>
        <v/>
      </c>
    </row>
    <row r="411" spans="9:9">
      <c r="I411" t="str">
        <f t="shared" si="6"/>
        <v/>
      </c>
    </row>
    <row r="412" spans="9:9">
      <c r="I412" t="str">
        <f t="shared" si="6"/>
        <v/>
      </c>
    </row>
    <row r="413" spans="9:9">
      <c r="I413" t="str">
        <f t="shared" si="6"/>
        <v/>
      </c>
    </row>
    <row r="414" spans="9:9">
      <c r="I414" t="str">
        <f t="shared" si="6"/>
        <v/>
      </c>
    </row>
    <row r="415" spans="9:9">
      <c r="I415" t="str">
        <f t="shared" si="6"/>
        <v/>
      </c>
    </row>
    <row r="416" spans="9:9">
      <c r="I416" t="str">
        <f t="shared" si="6"/>
        <v/>
      </c>
    </row>
    <row r="417" spans="9:9">
      <c r="I417" t="str">
        <f t="shared" si="6"/>
        <v/>
      </c>
    </row>
    <row r="418" spans="9:9">
      <c r="I418" t="str">
        <f t="shared" si="6"/>
        <v/>
      </c>
    </row>
    <row r="419" spans="9:9">
      <c r="I419" t="str">
        <f t="shared" si="6"/>
        <v/>
      </c>
    </row>
    <row r="420" spans="9:9">
      <c r="I420" t="str">
        <f t="shared" si="6"/>
        <v/>
      </c>
    </row>
    <row r="421" spans="9:9">
      <c r="I421" t="str">
        <f t="shared" si="6"/>
        <v/>
      </c>
    </row>
    <row r="422" spans="9:9">
      <c r="I422" t="str">
        <f t="shared" si="6"/>
        <v/>
      </c>
    </row>
    <row r="423" spans="9:9">
      <c r="I423" t="str">
        <f t="shared" si="6"/>
        <v/>
      </c>
    </row>
    <row r="424" spans="9:9">
      <c r="I424" t="str">
        <f t="shared" si="6"/>
        <v/>
      </c>
    </row>
    <row r="425" spans="9:9">
      <c r="I425" t="str">
        <f t="shared" si="6"/>
        <v/>
      </c>
    </row>
    <row r="426" spans="9:9">
      <c r="I426" t="str">
        <f t="shared" si="6"/>
        <v/>
      </c>
    </row>
    <row r="427" spans="9:9">
      <c r="I427" t="str">
        <f t="shared" si="6"/>
        <v/>
      </c>
    </row>
    <row r="428" spans="9:9">
      <c r="I428" t="str">
        <f t="shared" si="6"/>
        <v/>
      </c>
    </row>
    <row r="429" spans="9:9">
      <c r="I429" t="str">
        <f t="shared" si="6"/>
        <v/>
      </c>
    </row>
    <row r="430" spans="9:9">
      <c r="I430" t="str">
        <f t="shared" si="6"/>
        <v/>
      </c>
    </row>
    <row r="431" spans="9:9">
      <c r="I431" t="str">
        <f t="shared" si="6"/>
        <v/>
      </c>
    </row>
    <row r="432" spans="9:9">
      <c r="I432" t="str">
        <f t="shared" si="6"/>
        <v/>
      </c>
    </row>
    <row r="433" spans="9:9">
      <c r="I433" t="str">
        <f t="shared" si="6"/>
        <v/>
      </c>
    </row>
    <row r="434" spans="9:9">
      <c r="I434" t="str">
        <f t="shared" si="6"/>
        <v/>
      </c>
    </row>
    <row r="435" spans="9:9">
      <c r="I435" t="str">
        <f t="shared" si="6"/>
        <v/>
      </c>
    </row>
    <row r="436" spans="9:9">
      <c r="I436" t="str">
        <f t="shared" si="6"/>
        <v/>
      </c>
    </row>
    <row r="437" spans="9:9">
      <c r="I437" t="str">
        <f t="shared" si="6"/>
        <v/>
      </c>
    </row>
    <row r="438" spans="9:9">
      <c r="I438" t="str">
        <f t="shared" si="6"/>
        <v/>
      </c>
    </row>
    <row r="439" spans="9:9">
      <c r="I439" t="str">
        <f t="shared" si="6"/>
        <v/>
      </c>
    </row>
    <row r="440" spans="9:9">
      <c r="I440" t="str">
        <f t="shared" si="6"/>
        <v/>
      </c>
    </row>
    <row r="441" spans="9:9">
      <c r="I441" t="str">
        <f t="shared" si="6"/>
        <v/>
      </c>
    </row>
    <row r="442" spans="9:9">
      <c r="I442" t="str">
        <f t="shared" si="6"/>
        <v/>
      </c>
    </row>
    <row r="443" spans="9:9">
      <c r="I443" t="str">
        <f t="shared" si="6"/>
        <v/>
      </c>
    </row>
    <row r="444" spans="9:9">
      <c r="I444" t="str">
        <f t="shared" si="6"/>
        <v/>
      </c>
    </row>
    <row r="445" spans="9:9">
      <c r="I445" t="str">
        <f t="shared" si="6"/>
        <v/>
      </c>
    </row>
    <row r="446" spans="9:9">
      <c r="I446" t="str">
        <f t="shared" si="6"/>
        <v/>
      </c>
    </row>
    <row r="447" spans="9:9">
      <c r="I447" t="str">
        <f t="shared" si="6"/>
        <v/>
      </c>
    </row>
    <row r="448" spans="9:9">
      <c r="I448" t="str">
        <f t="shared" si="6"/>
        <v/>
      </c>
    </row>
    <row r="449" spans="9:9">
      <c r="I449" t="str">
        <f t="shared" si="6"/>
        <v/>
      </c>
    </row>
    <row r="450" spans="9:9">
      <c r="I450" t="str">
        <f t="shared" ref="I450:I501" si="7">IF(A450="","",TEXT(A450,"yyyy-mm"))</f>
        <v/>
      </c>
    </row>
    <row r="451" spans="9:9">
      <c r="I451" t="str">
        <f t="shared" si="7"/>
        <v/>
      </c>
    </row>
    <row r="452" spans="9:9">
      <c r="I452" t="str">
        <f t="shared" si="7"/>
        <v/>
      </c>
    </row>
    <row r="453" spans="9:9">
      <c r="I453" t="str">
        <f t="shared" si="7"/>
        <v/>
      </c>
    </row>
    <row r="454" spans="9:9">
      <c r="I454" t="str">
        <f t="shared" si="7"/>
        <v/>
      </c>
    </row>
    <row r="455" spans="9:9">
      <c r="I455" t="str">
        <f t="shared" si="7"/>
        <v/>
      </c>
    </row>
    <row r="456" spans="9:9">
      <c r="I456" t="str">
        <f t="shared" si="7"/>
        <v/>
      </c>
    </row>
    <row r="457" spans="9:9">
      <c r="I457" t="str">
        <f t="shared" si="7"/>
        <v/>
      </c>
    </row>
    <row r="458" spans="9:9">
      <c r="I458" t="str">
        <f t="shared" si="7"/>
        <v/>
      </c>
    </row>
    <row r="459" spans="9:9">
      <c r="I459" t="str">
        <f t="shared" si="7"/>
        <v/>
      </c>
    </row>
    <row r="460" spans="9:9">
      <c r="I460" t="str">
        <f t="shared" si="7"/>
        <v/>
      </c>
    </row>
    <row r="461" spans="9:9">
      <c r="I461" t="str">
        <f t="shared" si="7"/>
        <v/>
      </c>
    </row>
    <row r="462" spans="9:9">
      <c r="I462" t="str">
        <f t="shared" si="7"/>
        <v/>
      </c>
    </row>
    <row r="463" spans="9:9">
      <c r="I463" t="str">
        <f t="shared" si="7"/>
        <v/>
      </c>
    </row>
    <row r="464" spans="9:9">
      <c r="I464" t="str">
        <f t="shared" si="7"/>
        <v/>
      </c>
    </row>
    <row r="465" spans="9:9">
      <c r="I465" t="str">
        <f t="shared" si="7"/>
        <v/>
      </c>
    </row>
    <row r="466" spans="9:9">
      <c r="I466" t="str">
        <f t="shared" si="7"/>
        <v/>
      </c>
    </row>
    <row r="467" spans="9:9">
      <c r="I467" t="str">
        <f t="shared" si="7"/>
        <v/>
      </c>
    </row>
    <row r="468" spans="9:9">
      <c r="I468" t="str">
        <f t="shared" si="7"/>
        <v/>
      </c>
    </row>
    <row r="469" spans="9:9">
      <c r="I469" t="str">
        <f t="shared" si="7"/>
        <v/>
      </c>
    </row>
    <row r="470" spans="9:9">
      <c r="I470" t="str">
        <f t="shared" si="7"/>
        <v/>
      </c>
    </row>
    <row r="471" spans="9:9">
      <c r="I471" t="str">
        <f t="shared" si="7"/>
        <v/>
      </c>
    </row>
    <row r="472" spans="9:9">
      <c r="I472" t="str">
        <f t="shared" si="7"/>
        <v/>
      </c>
    </row>
    <row r="473" spans="9:9">
      <c r="I473" t="str">
        <f t="shared" si="7"/>
        <v/>
      </c>
    </row>
    <row r="474" spans="9:9">
      <c r="I474" t="str">
        <f t="shared" si="7"/>
        <v/>
      </c>
    </row>
    <row r="475" spans="9:9">
      <c r="I475" t="str">
        <f t="shared" si="7"/>
        <v/>
      </c>
    </row>
    <row r="476" spans="9:9">
      <c r="I476" t="str">
        <f t="shared" si="7"/>
        <v/>
      </c>
    </row>
    <row r="477" spans="9:9">
      <c r="I477" t="str">
        <f t="shared" si="7"/>
        <v/>
      </c>
    </row>
    <row r="478" spans="9:9">
      <c r="I478" t="str">
        <f t="shared" si="7"/>
        <v/>
      </c>
    </row>
    <row r="479" spans="9:9">
      <c r="I479" t="str">
        <f t="shared" si="7"/>
        <v/>
      </c>
    </row>
    <row r="480" spans="9:9">
      <c r="I480" t="str">
        <f t="shared" si="7"/>
        <v/>
      </c>
    </row>
    <row r="481" spans="9:9">
      <c r="I481" t="str">
        <f t="shared" si="7"/>
        <v/>
      </c>
    </row>
    <row r="482" spans="9:9">
      <c r="I482" t="str">
        <f t="shared" si="7"/>
        <v/>
      </c>
    </row>
    <row r="483" spans="9:9">
      <c r="I483" t="str">
        <f t="shared" si="7"/>
        <v/>
      </c>
    </row>
    <row r="484" spans="9:9">
      <c r="I484" t="str">
        <f t="shared" si="7"/>
        <v/>
      </c>
    </row>
    <row r="485" spans="9:9">
      <c r="I485" t="str">
        <f t="shared" si="7"/>
        <v/>
      </c>
    </row>
    <row r="486" spans="9:9">
      <c r="I486" t="str">
        <f t="shared" si="7"/>
        <v/>
      </c>
    </row>
    <row r="487" spans="9:9">
      <c r="I487" t="str">
        <f t="shared" si="7"/>
        <v/>
      </c>
    </row>
    <row r="488" spans="9:9">
      <c r="I488" t="str">
        <f t="shared" si="7"/>
        <v/>
      </c>
    </row>
    <row r="489" spans="9:9">
      <c r="I489" t="str">
        <f t="shared" si="7"/>
        <v/>
      </c>
    </row>
    <row r="490" spans="9:9">
      <c r="I490" t="str">
        <f t="shared" si="7"/>
        <v/>
      </c>
    </row>
    <row r="491" spans="9:9">
      <c r="I491" t="str">
        <f t="shared" si="7"/>
        <v/>
      </c>
    </row>
    <row r="492" spans="9:9">
      <c r="I492" t="str">
        <f t="shared" si="7"/>
        <v/>
      </c>
    </row>
    <row r="493" spans="9:9">
      <c r="I493" t="str">
        <f t="shared" si="7"/>
        <v/>
      </c>
    </row>
    <row r="494" spans="9:9">
      <c r="I494" t="str">
        <f t="shared" si="7"/>
        <v/>
      </c>
    </row>
    <row r="495" spans="9:9">
      <c r="I495" t="str">
        <f t="shared" si="7"/>
        <v/>
      </c>
    </row>
    <row r="496" spans="9:9">
      <c r="I496" t="str">
        <f t="shared" si="7"/>
        <v/>
      </c>
    </row>
    <row r="497" spans="9:9">
      <c r="I497" t="str">
        <f t="shared" si="7"/>
        <v/>
      </c>
    </row>
    <row r="498" spans="9:9">
      <c r="I498" t="str">
        <f t="shared" si="7"/>
        <v/>
      </c>
    </row>
    <row r="499" spans="9:9">
      <c r="I499" t="str">
        <f t="shared" si="7"/>
        <v/>
      </c>
    </row>
    <row r="500" spans="9:9">
      <c r="I500" t="str">
        <f t="shared" si="7"/>
        <v/>
      </c>
    </row>
    <row r="501" spans="9:9">
      <c r="I501" t="str">
        <f t="shared" si="7"/>
        <v/>
      </c>
    </row>
  </sheetData>
  <dataValidations count="5">
    <dataValidation type="list" allowBlank="1" sqref="B2:B501">
      <formula1>listaTipos</formula1>
    </dataValidation>
    <dataValidation type="list" allowBlank="1" sqref="C2:C501">
      <formula1>listaCategorias</formula1>
    </dataValidation>
    <dataValidation type="list" allowBlank="1" sqref="F2:F501">
      <formula1>listaFormas</formula1>
    </dataValidation>
    <dataValidation type="list" allowBlank="1" sqref="G2:G501">
      <formula1>listaContas</formula1>
    </dataValidation>
    <dataValidation type="list" allowBlank="1" sqref="J2:J501">
      <formula1>listaStatus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3" width="22" customWidth="1"/>
  </cols>
  <sheetData>
    <row r="1" spans="1:13">
      <c r="A1" s="1" t="s">
        <v>34</v>
      </c>
      <c r="C1" s="1" t="s">
        <v>35</v>
      </c>
      <c r="E1" s="1" t="s">
        <v>36</v>
      </c>
      <c r="G1" s="1" t="s">
        <v>37</v>
      </c>
      <c r="I1" s="1" t="s">
        <v>38</v>
      </c>
      <c r="K1" s="1" t="s">
        <v>39</v>
      </c>
      <c r="M1" s="1" t="s">
        <v>9</v>
      </c>
    </row>
    <row r="2" spans="1:13">
      <c r="A2" t="s">
        <v>11</v>
      </c>
      <c r="C2" t="s">
        <v>20</v>
      </c>
      <c r="E2" t="s">
        <v>12</v>
      </c>
      <c r="G2" t="s">
        <v>12</v>
      </c>
      <c r="I2" t="s">
        <v>22</v>
      </c>
      <c r="K2" t="s">
        <v>16</v>
      </c>
      <c r="M2" t="s">
        <v>17</v>
      </c>
    </row>
    <row r="3" spans="1:13">
      <c r="A3" t="s">
        <v>19</v>
      </c>
      <c r="C3" t="s">
        <v>24</v>
      </c>
      <c r="E3" t="s">
        <v>40</v>
      </c>
      <c r="G3" t="s">
        <v>40</v>
      </c>
      <c r="I3" t="s">
        <v>27</v>
      </c>
      <c r="K3" t="s">
        <v>41</v>
      </c>
      <c r="M3" t="s">
        <v>33</v>
      </c>
    </row>
    <row r="4" spans="1:13">
      <c r="C4" t="s">
        <v>28</v>
      </c>
      <c r="E4" t="s">
        <v>42</v>
      </c>
      <c r="G4" t="s">
        <v>42</v>
      </c>
      <c r="I4" t="s">
        <v>31</v>
      </c>
      <c r="K4" t="s">
        <v>43</v>
      </c>
      <c r="M4" t="s">
        <v>44</v>
      </c>
    </row>
    <row r="5" spans="1:13">
      <c r="C5" t="s">
        <v>45</v>
      </c>
      <c r="E5" t="s">
        <v>46</v>
      </c>
      <c r="G5" t="s">
        <v>46</v>
      </c>
      <c r="I5" t="s">
        <v>47</v>
      </c>
      <c r="K5" t="s">
        <v>32</v>
      </c>
    </row>
    <row r="6" spans="1:13">
      <c r="C6" t="s">
        <v>48</v>
      </c>
      <c r="E6" t="s">
        <v>49</v>
      </c>
      <c r="G6" t="s">
        <v>49</v>
      </c>
      <c r="I6" t="s">
        <v>50</v>
      </c>
      <c r="K6" t="s">
        <v>51</v>
      </c>
    </row>
    <row r="7" spans="1:13">
      <c r="C7" t="s">
        <v>52</v>
      </c>
      <c r="E7" t="s">
        <v>53</v>
      </c>
      <c r="G7" t="s">
        <v>53</v>
      </c>
      <c r="I7" t="s">
        <v>15</v>
      </c>
      <c r="K7" t="s">
        <v>42</v>
      </c>
    </row>
    <row r="8" spans="1:13">
      <c r="C8" t="s">
        <v>54</v>
      </c>
      <c r="E8" t="s">
        <v>55</v>
      </c>
      <c r="G8" t="s">
        <v>55</v>
      </c>
      <c r="I8" t="s">
        <v>56</v>
      </c>
    </row>
    <row r="9" spans="1:13">
      <c r="C9" t="s">
        <v>57</v>
      </c>
      <c r="G9" t="s">
        <v>20</v>
      </c>
      <c r="I9" t="s">
        <v>58</v>
      </c>
    </row>
    <row r="10" spans="1:13">
      <c r="C10" t="s">
        <v>59</v>
      </c>
      <c r="G10" t="s">
        <v>24</v>
      </c>
    </row>
    <row r="11" spans="1:13">
      <c r="C11" t="s">
        <v>60</v>
      </c>
      <c r="G11" t="s">
        <v>28</v>
      </c>
    </row>
    <row r="12" spans="1:13">
      <c r="C12" t="s">
        <v>61</v>
      </c>
      <c r="G12" t="s">
        <v>45</v>
      </c>
    </row>
    <row r="13" spans="1:13">
      <c r="C13" t="s">
        <v>62</v>
      </c>
      <c r="G13" t="s">
        <v>48</v>
      </c>
    </row>
    <row r="14" spans="1:13">
      <c r="C14" t="s">
        <v>55</v>
      </c>
      <c r="G14" t="s">
        <v>52</v>
      </c>
    </row>
    <row r="15" spans="1:13">
      <c r="G15" t="s">
        <v>54</v>
      </c>
    </row>
    <row r="16" spans="1:13">
      <c r="G16" t="s">
        <v>57</v>
      </c>
    </row>
    <row r="17" spans="7:7">
      <c r="G17" t="s">
        <v>59</v>
      </c>
    </row>
    <row r="18" spans="7:7">
      <c r="G18" t="s">
        <v>60</v>
      </c>
    </row>
    <row r="19" spans="7:7">
      <c r="G19" t="s">
        <v>61</v>
      </c>
    </row>
    <row r="20" spans="7:7">
      <c r="G20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 activeCell="G2" sqref="G2"/>
    </sheetView>
  </sheetViews>
  <sheetFormatPr defaultRowHeight="14.4"/>
  <cols>
    <col min="1" max="1" width="14" customWidth="1"/>
    <col min="2" max="5" width="18" customWidth="1"/>
    <col min="7" max="9" width="22" customWidth="1"/>
  </cols>
  <sheetData>
    <row r="1" spans="1:9">
      <c r="A1" s="1" t="s">
        <v>8</v>
      </c>
      <c r="B1" s="1" t="s">
        <v>63</v>
      </c>
      <c r="C1" s="1" t="s">
        <v>64</v>
      </c>
      <c r="D1" s="1" t="s">
        <v>65</v>
      </c>
      <c r="E1" s="1" t="s">
        <v>66</v>
      </c>
      <c r="G1" s="1" t="s">
        <v>67</v>
      </c>
      <c r="H1" s="1" t="s">
        <v>68</v>
      </c>
      <c r="I1" s="1" t="s">
        <v>69</v>
      </c>
    </row>
    <row r="2" spans="1:9">
      <c r="A2" t="s">
        <v>70</v>
      </c>
      <c r="B2" s="3">
        <f>SUMIFS(Lancamentos!$H:$H,Lancamentos!$B:$B,"Receita",Lancamentos!$I:$I,A2)</f>
        <v>0</v>
      </c>
      <c r="C2" s="3">
        <f>SUMIFS(Lancamentos!$H:$H,Lancamentos!$B:$B,"Despesa",Lancamentos!$I:$I,A2)</f>
        <v>0</v>
      </c>
      <c r="D2" s="3">
        <f t="shared" ref="D2:D13" si="0">B2-C2</f>
        <v>0</v>
      </c>
      <c r="E2" s="4">
        <f t="shared" ref="E2:E14" si="1">IF(B2=0,0,D2/B2)</f>
        <v>0</v>
      </c>
      <c r="G2" t="s">
        <v>20</v>
      </c>
      <c r="H2" s="3">
        <f>SUMIFS(Lancamentos!$H:$H,Lancamentos!$B:$B,"Despesa",Lancamentos!$C:$C,G2)</f>
        <v>1200</v>
      </c>
      <c r="I2" s="4">
        <f>IF(SUM(H2:H14)=0,0,H2/SUM(H2:H14))</f>
        <v>0.57971014492753625</v>
      </c>
    </row>
    <row r="3" spans="1:9">
      <c r="A3" t="s">
        <v>71</v>
      </c>
      <c r="B3" s="3">
        <f>SUMIFS(Lancamentos!$H:$H,Lancamentos!$B:$B,"Receita",Lancamentos!$I:$I,A3)</f>
        <v>0</v>
      </c>
      <c r="C3" s="3">
        <f>SUMIFS(Lancamentos!$H:$H,Lancamentos!$B:$B,"Despesa",Lancamentos!$I:$I,A3)</f>
        <v>0</v>
      </c>
      <c r="D3" s="3">
        <f t="shared" si="0"/>
        <v>0</v>
      </c>
      <c r="E3" s="4">
        <f t="shared" si="1"/>
        <v>0</v>
      </c>
      <c r="G3" t="s">
        <v>24</v>
      </c>
      <c r="H3" s="3">
        <f>SUMIFS(Lancamentos!$H:$H,Lancamentos!$B:$B,"Despesa",Lancamentos!$C:$C,G3)</f>
        <v>650</v>
      </c>
      <c r="I3" s="4">
        <f>IF(SUM(H2:H14)=0,0,H3/SUM(H2:H14))</f>
        <v>0.3140096618357488</v>
      </c>
    </row>
    <row r="4" spans="1:9">
      <c r="A4" t="s">
        <v>72</v>
      </c>
      <c r="B4" s="3">
        <f>SUMIFS(Lancamentos!$H:$H,Lancamentos!$B:$B,"Receita",Lancamentos!$I:$I,A4)</f>
        <v>0</v>
      </c>
      <c r="C4" s="3">
        <f>SUMIFS(Lancamentos!$H:$H,Lancamentos!$B:$B,"Despesa",Lancamentos!$I:$I,A4)</f>
        <v>0</v>
      </c>
      <c r="D4" s="3">
        <f t="shared" si="0"/>
        <v>0</v>
      </c>
      <c r="E4" s="4">
        <f t="shared" si="1"/>
        <v>0</v>
      </c>
      <c r="G4" t="s">
        <v>28</v>
      </c>
      <c r="H4" s="3">
        <f>SUMIFS(Lancamentos!$H:$H,Lancamentos!$B:$B,"Despesa",Lancamentos!$C:$C,G4)</f>
        <v>220</v>
      </c>
      <c r="I4" s="4">
        <f>IF(SUM(H2:H14)=0,0,H4/SUM(H2:H14))</f>
        <v>0.10628019323671498</v>
      </c>
    </row>
    <row r="5" spans="1:9">
      <c r="A5" t="s">
        <v>73</v>
      </c>
      <c r="B5" s="3">
        <f>SUMIFS(Lancamentos!$H:$H,Lancamentos!$B:$B,"Receita",Lancamentos!$I:$I,A5)</f>
        <v>0</v>
      </c>
      <c r="C5" s="3">
        <f>SUMIFS(Lancamentos!$H:$H,Lancamentos!$B:$B,"Despesa",Lancamentos!$I:$I,A5)</f>
        <v>0</v>
      </c>
      <c r="D5" s="3">
        <f t="shared" si="0"/>
        <v>0</v>
      </c>
      <c r="E5" s="4">
        <f t="shared" si="1"/>
        <v>0</v>
      </c>
      <c r="G5" t="s">
        <v>45</v>
      </c>
      <c r="H5" s="3">
        <f>SUMIFS(Lancamentos!$H:$H,Lancamentos!$B:$B,"Despesa",Lancamentos!$C:$C,G5)</f>
        <v>0</v>
      </c>
      <c r="I5" s="4">
        <f>IF(SUM(H2:H14)=0,0,H5/SUM(H2:H14))</f>
        <v>0</v>
      </c>
    </row>
    <row r="6" spans="1:9">
      <c r="A6" t="s">
        <v>74</v>
      </c>
      <c r="B6" s="3">
        <f>SUMIFS(Lancamentos!$H:$H,Lancamentos!$B:$B,"Receita",Lancamentos!$I:$I,A6)</f>
        <v>0</v>
      </c>
      <c r="C6" s="3">
        <f>SUMIFS(Lancamentos!$H:$H,Lancamentos!$B:$B,"Despesa",Lancamentos!$I:$I,A6)</f>
        <v>0</v>
      </c>
      <c r="D6" s="3">
        <f t="shared" si="0"/>
        <v>0</v>
      </c>
      <c r="E6" s="4">
        <f t="shared" si="1"/>
        <v>0</v>
      </c>
      <c r="G6" t="s">
        <v>48</v>
      </c>
      <c r="H6" s="3">
        <f>SUMIFS(Lancamentos!$H:$H,Lancamentos!$B:$B,"Despesa",Lancamentos!$C:$C,G6)</f>
        <v>0</v>
      </c>
      <c r="I6" s="4">
        <f>IF(SUM(H2:H14)=0,0,H6/SUM(H2:H14))</f>
        <v>0</v>
      </c>
    </row>
    <row r="7" spans="1:9">
      <c r="A7" t="s">
        <v>75</v>
      </c>
      <c r="B7" s="3">
        <f>SUMIFS(Lancamentos!$H:$H,Lancamentos!$B:$B,"Receita",Lancamentos!$I:$I,A7)</f>
        <v>0</v>
      </c>
      <c r="C7" s="3">
        <f>SUMIFS(Lancamentos!$H:$H,Lancamentos!$B:$B,"Despesa",Lancamentos!$I:$I,A7)</f>
        <v>0</v>
      </c>
      <c r="D7" s="3">
        <f t="shared" si="0"/>
        <v>0</v>
      </c>
      <c r="E7" s="4">
        <f t="shared" si="1"/>
        <v>0</v>
      </c>
      <c r="G7" t="s">
        <v>52</v>
      </c>
      <c r="H7" s="3">
        <f>SUMIFS(Lancamentos!$H:$H,Lancamentos!$B:$B,"Despesa",Lancamentos!$C:$C,G7)</f>
        <v>0</v>
      </c>
      <c r="I7" s="4">
        <f>IF(SUM(H2:H14)=0,0,H7/SUM(H2:H14))</f>
        <v>0</v>
      </c>
    </row>
    <row r="8" spans="1:9">
      <c r="A8" t="s">
        <v>76</v>
      </c>
      <c r="B8" s="3">
        <f>SUMIFS(Lancamentos!$H:$H,Lancamentos!$B:$B,"Receita",Lancamentos!$I:$I,A8)</f>
        <v>0</v>
      </c>
      <c r="C8" s="3">
        <f>SUMIFS(Lancamentos!$H:$H,Lancamentos!$B:$B,"Despesa",Lancamentos!$I:$I,A8)</f>
        <v>0</v>
      </c>
      <c r="D8" s="3">
        <f t="shared" si="0"/>
        <v>0</v>
      </c>
      <c r="E8" s="4">
        <f t="shared" si="1"/>
        <v>0</v>
      </c>
      <c r="G8" t="s">
        <v>54</v>
      </c>
      <c r="H8" s="3">
        <f>SUMIFS(Lancamentos!$H:$H,Lancamentos!$B:$B,"Despesa",Lancamentos!$C:$C,G8)</f>
        <v>0</v>
      </c>
      <c r="I8" s="4">
        <f>IF(SUM(H2:H14)=0,0,H8/SUM(H2:H14))</f>
        <v>0</v>
      </c>
    </row>
    <row r="9" spans="1:9">
      <c r="A9" t="s">
        <v>77</v>
      </c>
      <c r="B9" s="3">
        <f>SUMIFS(Lancamentos!$H:$H,Lancamentos!$B:$B,"Receita",Lancamentos!$I:$I,A9)</f>
        <v>0</v>
      </c>
      <c r="C9" s="3">
        <f>SUMIFS(Lancamentos!$H:$H,Lancamentos!$B:$B,"Despesa",Lancamentos!$I:$I,A9)</f>
        <v>0</v>
      </c>
      <c r="D9" s="3">
        <f t="shared" si="0"/>
        <v>0</v>
      </c>
      <c r="E9" s="4">
        <f t="shared" si="1"/>
        <v>0</v>
      </c>
      <c r="G9" t="s">
        <v>57</v>
      </c>
      <c r="H9" s="3">
        <f>SUMIFS(Lancamentos!$H:$H,Lancamentos!$B:$B,"Despesa",Lancamentos!$C:$C,G9)</f>
        <v>0</v>
      </c>
      <c r="I9" s="4">
        <f>IF(SUM(H2:H14)=0,0,H9/SUM(H2:H14))</f>
        <v>0</v>
      </c>
    </row>
    <row r="10" spans="1:9">
      <c r="A10" t="s">
        <v>78</v>
      </c>
      <c r="B10" s="3">
        <f>SUMIFS(Lancamentos!$H:$H,Lancamentos!$B:$B,"Receita",Lancamentos!$I:$I,A10)</f>
        <v>0</v>
      </c>
      <c r="C10" s="3">
        <f>SUMIFS(Lancamentos!$H:$H,Lancamentos!$B:$B,"Despesa",Lancamentos!$I:$I,A10)</f>
        <v>0</v>
      </c>
      <c r="D10" s="3">
        <f t="shared" si="0"/>
        <v>0</v>
      </c>
      <c r="E10" s="4">
        <f t="shared" si="1"/>
        <v>0</v>
      </c>
      <c r="G10" t="s">
        <v>59</v>
      </c>
      <c r="H10" s="3">
        <f>SUMIFS(Lancamentos!$H:$H,Lancamentos!$B:$B,"Despesa",Lancamentos!$C:$C,G10)</f>
        <v>0</v>
      </c>
      <c r="I10" s="4">
        <f>IF(SUM(H2:H14)=0,0,H10/SUM(H2:H14))</f>
        <v>0</v>
      </c>
    </row>
    <row r="11" spans="1:9">
      <c r="A11" t="s">
        <v>79</v>
      </c>
      <c r="B11" s="3">
        <f>SUMIFS(Lancamentos!$H:$H,Lancamentos!$B:$B,"Receita",Lancamentos!$I:$I,A11)</f>
        <v>0</v>
      </c>
      <c r="C11" s="3">
        <f>SUMIFS(Lancamentos!$H:$H,Lancamentos!$B:$B,"Despesa",Lancamentos!$I:$I,A11)</f>
        <v>0</v>
      </c>
      <c r="D11" s="3">
        <f t="shared" si="0"/>
        <v>0</v>
      </c>
      <c r="E11" s="4">
        <f t="shared" si="1"/>
        <v>0</v>
      </c>
      <c r="G11" t="s">
        <v>60</v>
      </c>
      <c r="H11" s="3">
        <f>SUMIFS(Lancamentos!$H:$H,Lancamentos!$B:$B,"Despesa",Lancamentos!$C:$C,G11)</f>
        <v>0</v>
      </c>
      <c r="I11" s="4">
        <f>IF(SUM(H2:H14)=0,0,H11/SUM(H2:H14))</f>
        <v>0</v>
      </c>
    </row>
    <row r="12" spans="1:9">
      <c r="A12" t="s">
        <v>80</v>
      </c>
      <c r="B12" s="3">
        <f>SUMIFS(Lancamentos!$H:$H,Lancamentos!$B:$B,"Receita",Lancamentos!$I:$I,A12)</f>
        <v>0</v>
      </c>
      <c r="C12" s="3">
        <f>SUMIFS(Lancamentos!$H:$H,Lancamentos!$B:$B,"Despesa",Lancamentos!$I:$I,A12)</f>
        <v>0</v>
      </c>
      <c r="D12" s="3">
        <f t="shared" si="0"/>
        <v>0</v>
      </c>
      <c r="E12" s="4">
        <f t="shared" si="1"/>
        <v>0</v>
      </c>
      <c r="G12" t="s">
        <v>61</v>
      </c>
      <c r="H12" s="3">
        <f>SUMIFS(Lancamentos!$H:$H,Lancamentos!$B:$B,"Despesa",Lancamentos!$C:$C,G12)</f>
        <v>0</v>
      </c>
      <c r="I12" s="4">
        <f>IF(SUM(H2:H14)=0,0,H12/SUM(H2:H14))</f>
        <v>0</v>
      </c>
    </row>
    <row r="13" spans="1:9">
      <c r="A13" t="s">
        <v>81</v>
      </c>
      <c r="B13" s="3">
        <f>SUMIFS(Lancamentos!$H:$H,Lancamentos!$B:$B,"Receita",Lancamentos!$I:$I,A13)</f>
        <v>0</v>
      </c>
      <c r="C13" s="3">
        <f>SUMIFS(Lancamentos!$H:$H,Lancamentos!$B:$B,"Despesa",Lancamentos!$I:$I,A13)</f>
        <v>0</v>
      </c>
      <c r="D13" s="3">
        <f t="shared" si="0"/>
        <v>0</v>
      </c>
      <c r="E13" s="4">
        <f t="shared" si="1"/>
        <v>0</v>
      </c>
      <c r="G13" t="s">
        <v>62</v>
      </c>
      <c r="H13" s="3">
        <f>SUMIFS(Lancamentos!$H:$H,Lancamentos!$B:$B,"Despesa",Lancamentos!$C:$C,G13)</f>
        <v>0</v>
      </c>
      <c r="I13" s="4">
        <f>IF(SUM(H2:H14)=0,0,H13/SUM(H2:H14))</f>
        <v>0</v>
      </c>
    </row>
    <row r="14" spans="1:9">
      <c r="A14" s="1" t="s">
        <v>68</v>
      </c>
      <c r="B14" s="3">
        <f>SUM(B2:B13)</f>
        <v>0</v>
      </c>
      <c r="C14" s="3">
        <f>SUM(C2:C13)</f>
        <v>0</v>
      </c>
      <c r="D14" s="3">
        <f>SUM(D2:D13)</f>
        <v>0</v>
      </c>
      <c r="E14" s="4">
        <f t="shared" si="1"/>
        <v>0</v>
      </c>
      <c r="G14" t="s">
        <v>55</v>
      </c>
      <c r="H14" s="3">
        <f>SUMIFS(Lancamentos!$H:$H,Lancamentos!$B:$B,"Despesa",Lancamentos!$C:$C,G14)</f>
        <v>0</v>
      </c>
      <c r="I14" s="4">
        <f>IF(SUM(H2:H14)=0,0,H14/SUM(H2:H14))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4" customWidth="1"/>
    <col min="2" max="2" width="22" customWidth="1"/>
  </cols>
  <sheetData>
    <row r="1" spans="1:2" ht="23.4">
      <c r="A1" s="5" t="s">
        <v>82</v>
      </c>
    </row>
    <row r="3" spans="1:2">
      <c r="A3" s="1" t="s">
        <v>83</v>
      </c>
      <c r="B3" s="3">
        <f>SUM('Resumo Mensal'!B2:B13)</f>
        <v>0</v>
      </c>
    </row>
    <row r="4" spans="1:2">
      <c r="A4" s="1" t="s">
        <v>84</v>
      </c>
      <c r="B4" s="3">
        <f>SUM('Resumo Mensal'!C2:C13)</f>
        <v>0</v>
      </c>
    </row>
    <row r="5" spans="1:2">
      <c r="A5" s="1" t="s">
        <v>85</v>
      </c>
      <c r="B5" s="3">
        <f>B3-B4</f>
        <v>0</v>
      </c>
    </row>
    <row r="6" spans="1:2">
      <c r="A6" s="1" t="s">
        <v>86</v>
      </c>
      <c r="B6" s="3">
        <f>AVERAGE('Resumo Mensal'!C2:C13)</f>
        <v>0</v>
      </c>
    </row>
    <row r="7" spans="1:2">
      <c r="A7" s="1" t="s">
        <v>87</v>
      </c>
      <c r="B7" t="str">
        <f>INDEX('Resumo Mensal'!G2:G14,MATCH(MAX('Resumo Mensal'!H2:H14),'Resumo Mensal'!H2:H14,0))</f>
        <v>Moradia</v>
      </c>
    </row>
    <row r="10" spans="1:2">
      <c r="A10" s="1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5" width="20" customWidth="1"/>
  </cols>
  <sheetData>
    <row r="1" spans="1:5">
      <c r="A1" s="1" t="s">
        <v>2</v>
      </c>
      <c r="B1" s="1" t="s">
        <v>89</v>
      </c>
      <c r="C1" s="1" t="s">
        <v>90</v>
      </c>
      <c r="D1" s="1" t="s">
        <v>91</v>
      </c>
      <c r="E1" s="1" t="s">
        <v>9</v>
      </c>
    </row>
    <row r="2" spans="1:5">
      <c r="A2" t="s">
        <v>20</v>
      </c>
      <c r="B2" s="3">
        <v>0</v>
      </c>
      <c r="C2" s="3">
        <f ca="1">SUMIFS(Lancamentos!$H:$H,Lancamentos!$B:$B,"Despesa",Lancamentos!$C:$C,A2,Lancamentos!$I:$I,TEXT(TODAY(),"yyyy-mm"))</f>
        <v>1200</v>
      </c>
      <c r="D2" s="3">
        <f t="shared" ref="D2:D14" ca="1" si="0">B2-C2</f>
        <v>-1200</v>
      </c>
      <c r="E2" t="str">
        <f t="shared" ref="E2:E14" si="1">IF(B2=0,"Definir meta",IF(D2&gt;=0,"Dentro da meta","Acima da meta"))</f>
        <v>Definir meta</v>
      </c>
    </row>
    <row r="3" spans="1:5">
      <c r="A3" t="s">
        <v>24</v>
      </c>
      <c r="B3" s="3">
        <v>0</v>
      </c>
      <c r="C3" s="3">
        <f ca="1">SUMIFS(Lancamentos!$H:$H,Lancamentos!$B:$B,"Despesa",Lancamentos!$C:$C,A3,Lancamentos!$I:$I,TEXT(TODAY(),"yyyy-mm"))</f>
        <v>650</v>
      </c>
      <c r="D3" s="3">
        <f t="shared" ca="1" si="0"/>
        <v>-650</v>
      </c>
      <c r="E3" t="str">
        <f t="shared" si="1"/>
        <v>Definir meta</v>
      </c>
    </row>
    <row r="4" spans="1:5">
      <c r="A4" t="s">
        <v>28</v>
      </c>
      <c r="B4" s="3">
        <v>0</v>
      </c>
      <c r="C4" s="3">
        <f ca="1">SUMIFS(Lancamentos!$H:$H,Lancamentos!$B:$B,"Despesa",Lancamentos!$C:$C,A4,Lancamentos!$I:$I,TEXT(TODAY(),"yyyy-mm"))</f>
        <v>220</v>
      </c>
      <c r="D4" s="3">
        <f t="shared" ca="1" si="0"/>
        <v>-220</v>
      </c>
      <c r="E4" t="str">
        <f t="shared" si="1"/>
        <v>Definir meta</v>
      </c>
    </row>
    <row r="5" spans="1:5">
      <c r="A5" t="s">
        <v>45</v>
      </c>
      <c r="B5" s="3">
        <v>0</v>
      </c>
      <c r="C5" s="3">
        <f ca="1">SUMIFS(Lancamentos!$H:$H,Lancamentos!$B:$B,"Despesa",Lancamentos!$C:$C,A5,Lancamentos!$I:$I,TEXT(TODAY(),"yyyy-mm"))</f>
        <v>0</v>
      </c>
      <c r="D5" s="3">
        <f t="shared" ca="1" si="0"/>
        <v>0</v>
      </c>
      <c r="E5" t="str">
        <f t="shared" si="1"/>
        <v>Definir meta</v>
      </c>
    </row>
    <row r="6" spans="1:5">
      <c r="A6" t="s">
        <v>48</v>
      </c>
      <c r="B6" s="3">
        <v>0</v>
      </c>
      <c r="C6" s="3">
        <f ca="1">SUMIFS(Lancamentos!$H:$H,Lancamentos!$B:$B,"Despesa",Lancamentos!$C:$C,A6,Lancamentos!$I:$I,TEXT(TODAY(),"yyyy-mm"))</f>
        <v>0</v>
      </c>
      <c r="D6" s="3">
        <f t="shared" ca="1" si="0"/>
        <v>0</v>
      </c>
      <c r="E6" t="str">
        <f t="shared" si="1"/>
        <v>Definir meta</v>
      </c>
    </row>
    <row r="7" spans="1:5">
      <c r="A7" t="s">
        <v>52</v>
      </c>
      <c r="B7" s="3">
        <v>0</v>
      </c>
      <c r="C7" s="3">
        <f ca="1">SUMIFS(Lancamentos!$H:$H,Lancamentos!$B:$B,"Despesa",Lancamentos!$C:$C,A7,Lancamentos!$I:$I,TEXT(TODAY(),"yyyy-mm"))</f>
        <v>0</v>
      </c>
      <c r="D7" s="3">
        <f t="shared" ca="1" si="0"/>
        <v>0</v>
      </c>
      <c r="E7" t="str">
        <f t="shared" si="1"/>
        <v>Definir meta</v>
      </c>
    </row>
    <row r="8" spans="1:5">
      <c r="A8" t="s">
        <v>54</v>
      </c>
      <c r="B8" s="3">
        <v>0</v>
      </c>
      <c r="C8" s="3">
        <f ca="1">SUMIFS(Lancamentos!$H:$H,Lancamentos!$B:$B,"Despesa",Lancamentos!$C:$C,A8,Lancamentos!$I:$I,TEXT(TODAY(),"yyyy-mm"))</f>
        <v>0</v>
      </c>
      <c r="D8" s="3">
        <f t="shared" ca="1" si="0"/>
        <v>0</v>
      </c>
      <c r="E8" t="str">
        <f t="shared" si="1"/>
        <v>Definir meta</v>
      </c>
    </row>
    <row r="9" spans="1:5">
      <c r="A9" t="s">
        <v>57</v>
      </c>
      <c r="B9" s="3">
        <v>0</v>
      </c>
      <c r="C9" s="3">
        <f ca="1">SUMIFS(Lancamentos!$H:$H,Lancamentos!$B:$B,"Despesa",Lancamentos!$C:$C,A9,Lancamentos!$I:$I,TEXT(TODAY(),"yyyy-mm"))</f>
        <v>0</v>
      </c>
      <c r="D9" s="3">
        <f t="shared" ca="1" si="0"/>
        <v>0</v>
      </c>
      <c r="E9" t="str">
        <f t="shared" si="1"/>
        <v>Definir meta</v>
      </c>
    </row>
    <row r="10" spans="1:5">
      <c r="A10" t="s">
        <v>59</v>
      </c>
      <c r="B10" s="3">
        <v>0</v>
      </c>
      <c r="C10" s="3">
        <f ca="1">SUMIFS(Lancamentos!$H:$H,Lancamentos!$B:$B,"Despesa",Lancamentos!$C:$C,A10,Lancamentos!$I:$I,TEXT(TODAY(),"yyyy-mm"))</f>
        <v>0</v>
      </c>
      <c r="D10" s="3">
        <f t="shared" ca="1" si="0"/>
        <v>0</v>
      </c>
      <c r="E10" t="str">
        <f t="shared" si="1"/>
        <v>Definir meta</v>
      </c>
    </row>
    <row r="11" spans="1:5">
      <c r="A11" t="s">
        <v>60</v>
      </c>
      <c r="B11" s="3">
        <v>0</v>
      </c>
      <c r="C11" s="3">
        <f ca="1">SUMIFS(Lancamentos!$H:$H,Lancamentos!$B:$B,"Despesa",Lancamentos!$C:$C,A11,Lancamentos!$I:$I,TEXT(TODAY(),"yyyy-mm"))</f>
        <v>0</v>
      </c>
      <c r="D11" s="3">
        <f t="shared" ca="1" si="0"/>
        <v>0</v>
      </c>
      <c r="E11" t="str">
        <f t="shared" si="1"/>
        <v>Definir meta</v>
      </c>
    </row>
    <row r="12" spans="1:5">
      <c r="A12" t="s">
        <v>61</v>
      </c>
      <c r="B12" s="3">
        <v>0</v>
      </c>
      <c r="C12" s="3">
        <f ca="1">SUMIFS(Lancamentos!$H:$H,Lancamentos!$B:$B,"Despesa",Lancamentos!$C:$C,A12,Lancamentos!$I:$I,TEXT(TODAY(),"yyyy-mm"))</f>
        <v>0</v>
      </c>
      <c r="D12" s="3">
        <f t="shared" ca="1" si="0"/>
        <v>0</v>
      </c>
      <c r="E12" t="str">
        <f t="shared" si="1"/>
        <v>Definir meta</v>
      </c>
    </row>
    <row r="13" spans="1:5">
      <c r="A13" t="s">
        <v>62</v>
      </c>
      <c r="B13" s="3">
        <v>0</v>
      </c>
      <c r="C13" s="3">
        <f ca="1">SUMIFS(Lancamentos!$H:$H,Lancamentos!$B:$B,"Despesa",Lancamentos!$C:$C,A13,Lancamentos!$I:$I,TEXT(TODAY(),"yyyy-mm"))</f>
        <v>0</v>
      </c>
      <c r="D13" s="3">
        <f t="shared" ca="1" si="0"/>
        <v>0</v>
      </c>
      <c r="E13" t="str">
        <f t="shared" si="1"/>
        <v>Definir meta</v>
      </c>
    </row>
    <row r="14" spans="1:5">
      <c r="A14" t="s">
        <v>55</v>
      </c>
      <c r="B14" s="3">
        <v>0</v>
      </c>
      <c r="C14" s="3">
        <f ca="1">SUMIFS(Lancamentos!$H:$H,Lancamentos!$B:$B,"Despesa",Lancamentos!$C:$C,A14,Lancamentos!$I:$I,TEXT(TODAY(),"yyyy-mm"))</f>
        <v>0</v>
      </c>
      <c r="D14" s="3">
        <f t="shared" ca="1" si="0"/>
        <v>0</v>
      </c>
      <c r="E14" t="str">
        <f t="shared" si="1"/>
        <v>Definir meta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110" customWidth="1"/>
  </cols>
  <sheetData>
    <row r="1" spans="1:1" ht="23.4">
      <c r="A1" s="5" t="s">
        <v>92</v>
      </c>
    </row>
    <row r="2" spans="1:1">
      <c r="A2" t="s">
        <v>93</v>
      </c>
    </row>
    <row r="3" spans="1:1">
      <c r="A3" t="s">
        <v>94</v>
      </c>
    </row>
    <row r="4" spans="1:1">
      <c r="A4" t="s">
        <v>95</v>
      </c>
    </row>
    <row r="5" spans="1:1">
      <c r="A5" t="s">
        <v>96</v>
      </c>
    </row>
    <row r="6" spans="1:1">
      <c r="A6" t="s">
        <v>97</v>
      </c>
    </row>
    <row r="7" spans="1:1">
      <c r="A7" t="s">
        <v>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Lancamentos</vt:lpstr>
      <vt:lpstr>Categorias</vt:lpstr>
      <vt:lpstr>Resumo Mensal</vt:lpstr>
      <vt:lpstr>Dashboard</vt:lpstr>
      <vt:lpstr>Metas</vt:lpstr>
      <vt:lpstr>Ajuda</vt:lpstr>
      <vt:lpstr>listaCategorias</vt:lpstr>
      <vt:lpstr>listaContas</vt:lpstr>
      <vt:lpstr>listaFormas</vt:lpstr>
      <vt:lpstr>listaStatus</vt:lpstr>
      <vt:lpstr>listaTipos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Filipi Cabral Leite</dc:creator>
  <cp:lastModifiedBy>Diego Filipi Cabral Leite</cp:lastModifiedBy>
  <dcterms:created xsi:type="dcterms:W3CDTF">2026-06-19T13:47:42Z</dcterms:created>
  <dcterms:modified xsi:type="dcterms:W3CDTF">2026-06-19T13:47:42Z</dcterms:modified>
</cp:coreProperties>
</file>